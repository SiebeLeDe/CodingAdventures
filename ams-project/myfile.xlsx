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l" sheetId="1" r:id="rId1"/>
    <sheet name="Atoms" sheetId="2" r:id="rId2"/>
    <sheet name="Multipoles" sheetId="3" r:id="rId3"/>
    <sheet name="Energies" sheetId="4" r:id="rId4"/>
    <sheet name="Distances" sheetId="5" r:id="rId5"/>
    <sheet name="Task, Engine" sheetId="6" r:id="rId6"/>
  </sheets>
  <definedNames>
    <definedName name="dipole">'Multipoles'!$B$5</definedName>
    <definedName name="energy">'General'!$G$3</definedName>
  </definedNames>
  <calcPr calcId="124519" fullCalcOnLoad="1"/>
</workbook>
</file>

<file path=xl/comments1.xml><?xml version="1.0" encoding="utf-8"?>
<comments xmlns="http://schemas.openxmlformats.org/spreadsheetml/2006/main">
  <authors>
    <author/>
  </authors>
  <commentList>
    <comment ref="F3" authorId="0">
      <text>
        <r>
          <rPr>
            <sz val="8"/>
            <color indexed="81"/>
            <rFont val="Tahoma"/>
            <family val="2"/>
          </rPr>
          <t>The energy is computed as an energy difference between the molecule and fragments. If you have not manually specified the fragments, then the fragments are computed as SPHERICALLY SYMMETRIC and SPIN-RESTRICTED atoms. This usually does NOT represent the true atomic groundstate.</t>
        </r>
      </text>
    </comment>
    <comment ref="K6" authorId="0">
      <text>
        <r>
          <rPr>
            <sz val="8"/>
            <color indexed="81"/>
            <rFont val="Tahoma"/>
            <family val="2"/>
          </rPr>
          <t>DD-HH:MM:SS</t>
        </r>
      </text>
    </comment>
    <comment ref="L6" authorId="0">
      <text>
        <r>
          <rPr>
            <sz val="8"/>
            <color indexed="81"/>
            <rFont val="Tahoma"/>
            <family val="2"/>
          </rPr>
          <t>seconds</t>
        </r>
      </text>
    </comment>
    <comment ref="K7" authorId="0">
      <text>
        <r>
          <rPr>
            <sz val="8"/>
            <color indexed="81"/>
            <rFont val="Tahoma"/>
            <family val="2"/>
          </rPr>
          <t>DD-HH:MM:SS</t>
        </r>
      </text>
    </comment>
    <comment ref="L7" authorId="0">
      <text>
        <r>
          <rPr>
            <sz val="8"/>
            <color indexed="81"/>
            <rFont val="Tahoma"/>
            <family val="2"/>
          </rPr>
          <t>seconds</t>
        </r>
      </text>
    </comment>
    <comment ref="J12" authorId="0">
      <text>
        <r>
          <rPr>
            <sz val="8"/>
            <color indexed="81"/>
            <rFont val="Tahoma"/>
            <family val="2"/>
          </rPr>
          <t>N/A means we couldn't locate the logfile. This shouldn't really happen.</t>
        </r>
      </text>
    </comment>
  </commentList>
</comments>
</file>

<file path=xl/comments2.xml><?xml version="1.0" encoding="utf-8"?>
<comments xmlns="http://schemas.openxmlformats.org/spreadsheetml/2006/main">
  <authors>
    <author/>
  </authors>
  <commentList>
    <comment ref="D1" authorId="0">
      <text>
        <r>
          <rPr>
            <sz val="8"/>
            <color indexed="81"/>
            <rFont val="Tahoma"/>
            <family val="2"/>
          </rPr>
          <t>Atomic positions</t>
        </r>
      </text>
    </comment>
    <comment ref="E1" authorId="0">
      <text>
        <r>
          <rPr>
            <sz val="8"/>
            <color indexed="81"/>
            <rFont val="Tahoma"/>
            <family val="2"/>
          </rPr>
          <t>Atomic positions</t>
        </r>
      </text>
    </comment>
    <comment ref="F1" authorId="0">
      <text>
        <r>
          <rPr>
            <sz val="8"/>
            <color indexed="81"/>
            <rFont val="Tahoma"/>
            <family val="2"/>
          </rPr>
          <t>Atomic positions</t>
        </r>
      </text>
    </comment>
  </commentList>
</comments>
</file>

<file path=xl/comments3.xml><?xml version="1.0" encoding="utf-8"?>
<comments xmlns="http://schemas.openxmlformats.org/spreadsheetml/2006/main">
  <authors>
    <author/>
  </authors>
  <commentList>
    <comment ref="A7" authorId="0">
      <text>
        <r>
          <rPr>
            <sz val="8"/>
            <color indexed="81"/>
            <rFont val="Tahoma"/>
            <family val="2"/>
          </rPr>
          <t>Kinetic energy of electrons (not nuclei)</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For periodic systems, distances are given using the minimum image convention.</t>
        </r>
      </text>
    </comment>
  </commentList>
</comments>
</file>

<file path=xl/sharedStrings.xml><?xml version="1.0" encoding="utf-8"?>
<sst xmlns="http://schemas.openxmlformats.org/spreadsheetml/2006/main" count="183" uniqueCount="104">
  <si>
    <t>System</t>
  </si>
  <si>
    <t>Job name</t>
  </si>
  <si>
    <t>ami_full_di_cs-2.780A</t>
  </si>
  <si>
    <t># atoms</t>
  </si>
  <si>
    <t>Formula</t>
  </si>
  <si>
    <r>
      <t>C</t>
    </r>
    <r>
      <rPr>
        <vertAlign val="subscript"/>
        <sz val="11"/>
        <color theme="1"/>
        <rFont val="Calibri"/>
        <family val="2"/>
        <scheme val="minor"/>
      </rPr>
      <t>10</t>
    </r>
    <r>
      <rPr>
        <sz val="11"/>
        <color theme="1"/>
        <rFont val="Calibri"/>
        <family val="2"/>
        <scheme val="minor"/>
      </rPr>
      <t>N</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10</t>
    </r>
    <r>
      <rPr>
        <sz val="11"/>
        <color theme="1"/>
        <rFont val="Calibri"/>
        <family val="2"/>
        <scheme val="minor"/>
      </rPr>
      <t>O</t>
    </r>
    <r>
      <rPr>
        <vertAlign val="subscript"/>
        <sz val="11"/>
        <color theme="1"/>
        <rFont val="Calibri"/>
        <family val="2"/>
        <scheme val="minor"/>
      </rPr>
      <t>2</t>
    </r>
  </si>
  <si>
    <t>Mass</t>
  </si>
  <si>
    <t>Charge</t>
  </si>
  <si>
    <t>Periodicity</t>
  </si>
  <si>
    <t>None (0-dim)</t>
  </si>
  <si>
    <t>Symmetry</t>
  </si>
  <si>
    <t xml:space="preserve">C(S)                                                                                                                                                            </t>
  </si>
  <si>
    <t>Main results</t>
  </si>
  <si>
    <t>Energy</t>
  </si>
  <si>
    <t>Zero point energy (ZPE)</t>
  </si>
  <si>
    <t>N/A</t>
  </si>
  <si>
    <t>Gibbs energy at 298.15 K</t>
  </si>
  <si>
    <t>Dipole moment</t>
  </si>
  <si>
    <t>PES point character</t>
  </si>
  <si>
    <t>HOMO</t>
  </si>
  <si>
    <t>LUMO</t>
  </si>
  <si>
    <t>Fermi energy</t>
  </si>
  <si>
    <t>Band gap (HOMO-LUMO gap)</t>
  </si>
  <si>
    <t>General</t>
  </si>
  <si>
    <t>AMS Version</t>
  </si>
  <si>
    <t>2024.104 r241017 (2024-10-17) #6c8287a2</t>
  </si>
  <si>
    <t>Task</t>
  </si>
  <si>
    <t>Single Point</t>
  </si>
  <si>
    <t>Engine</t>
  </si>
  <si>
    <t>ADF</t>
  </si>
  <si>
    <t>Elapsed time</t>
  </si>
  <si>
    <t>00-00:02:05.81</t>
  </si>
  <si>
    <t>CPU time</t>
  </si>
  <si>
    <t>00-00:01:47.55</t>
  </si>
  <si>
    <t>Status</t>
  </si>
  <si>
    <t>NORMAL TERMINATION</t>
  </si>
  <si>
    <t>Warnings and errors in logfile</t>
  </si>
  <si>
    <t>Line</t>
  </si>
  <si>
    <t>Message</t>
  </si>
  <si>
    <t>Help</t>
  </si>
  <si>
    <t>Set the units on the Units sheet. Cells with yellow background are editable.</t>
  </si>
  <si>
    <t>If you cannot find a result, look in the output file or use KF browser to inspect the binary .rkf results files.</t>
  </si>
  <si>
    <t>Properties are given for the *final* structure of a geometry optimization, transition state search, or molecular dynamics simulation, and the highest-energy image for NEB.</t>
  </si>
  <si>
    <t>The Notes worksheet is intended for your own personal notes.</t>
  </si>
  <si>
    <t>Some spreadsheet programs do not support all features in this spreadsheet. We recommend that you view this file in Microsoft Excel (Windows, Mac) or LibreOffice (Windows, Mac, Linux).</t>
  </si>
  <si>
    <t>i</t>
  </si>
  <si>
    <t>symbol</t>
  </si>
  <si>
    <t>C</t>
  </si>
  <si>
    <t>N</t>
  </si>
  <si>
    <t>H</t>
  </si>
  <si>
    <t>O</t>
  </si>
  <si>
    <t>str_id</t>
  </si>
  <si>
    <t>C(1)</t>
  </si>
  <si>
    <t>N(2)</t>
  </si>
  <si>
    <t>C(3)</t>
  </si>
  <si>
    <t>C(4)</t>
  </si>
  <si>
    <t>C(5)</t>
  </si>
  <si>
    <t>C(6)</t>
  </si>
  <si>
    <t>H(7)</t>
  </si>
  <si>
    <t>H(8)</t>
  </si>
  <si>
    <t>O(9)</t>
  </si>
  <si>
    <t>H(10)</t>
  </si>
  <si>
    <t>H(11)</t>
  </si>
  <si>
    <t>H(12)</t>
  </si>
  <si>
    <t>C(13)</t>
  </si>
  <si>
    <t>N(14)</t>
  </si>
  <si>
    <t>C(15)</t>
  </si>
  <si>
    <t>C(16)</t>
  </si>
  <si>
    <t>C(17)</t>
  </si>
  <si>
    <t>C(18)</t>
  </si>
  <si>
    <t>H(19)</t>
  </si>
  <si>
    <t>H(20)</t>
  </si>
  <si>
    <t>O(21)</t>
  </si>
  <si>
    <t>H(22)</t>
  </si>
  <si>
    <t>H(23)</t>
  </si>
  <si>
    <t>H(24)</t>
  </si>
  <si>
    <t>Charge (a.u.)</t>
  </si>
  <si>
    <t>MDC-m charges (a.u.)</t>
  </si>
  <si>
    <t>MDC-d charges (a.u.)</t>
  </si>
  <si>
    <t>MDC-q charges (a.u.)</t>
  </si>
  <si>
    <t>Electron Density at Nuclei (a.u.)</t>
  </si>
  <si>
    <t>Electrostatic Pot.at Nuclei (a.u.)</t>
  </si>
  <si>
    <t>Min.</t>
  </si>
  <si>
    <t>Max.</t>
  </si>
  <si>
    <t>Min. abs.</t>
  </si>
  <si>
    <t>Vector</t>
  </si>
  <si>
    <t>x</t>
  </si>
  <si>
    <t>y</t>
  </si>
  <si>
    <t>z</t>
  </si>
  <si>
    <t>Magnitude</t>
  </si>
  <si>
    <t>Bond energy</t>
  </si>
  <si>
    <t>Orbital interaction</t>
  </si>
  <si>
    <t>Steric interaction</t>
  </si>
  <si>
    <t>Pauli repulsion</t>
  </si>
  <si>
    <t>Electrostatic interaction</t>
  </si>
  <si>
    <t>Kinetic energy</t>
  </si>
  <si>
    <t>Coulomb (Steric+OrbInt) energy</t>
  </si>
  <si>
    <t>Exchange-correlation energy</t>
  </si>
  <si>
    <t>First-order fit correction (fit quality)</t>
  </si>
  <si>
    <t>Orbital interaction per symmetry</t>
  </si>
  <si>
    <t>AA</t>
  </si>
  <si>
    <t>AAA</t>
  </si>
  <si>
    <t>Total</t>
  </si>
  <si>
    <t>Task Single Point</t>
  </si>
</sst>
</file>

<file path=xl/styles.xml><?xml version="1.0" encoding="utf-8"?>
<styleSheet xmlns="http://schemas.openxmlformats.org/spreadsheetml/2006/main">
  <numFmts count="1">
    <numFmt numFmtId="164" formatCode="+General;-General;General"/>
  </numFmts>
  <fonts count="8">
    <font>
      <sz val="11"/>
      <color theme="1"/>
      <name val="Calibri"/>
      <family val="2"/>
      <scheme val="minor"/>
    </font>
    <font>
      <b/>
      <sz val="12"/>
      <color rgb="FFFF0000"/>
      <name val="Calibri"/>
      <family val="2"/>
      <scheme val="minor"/>
    </font>
    <font>
      <b/>
      <sz val="11"/>
      <color theme="1"/>
      <name val="Calibri"/>
      <family val="2"/>
      <scheme val="minor"/>
    </font>
    <font>
      <b/>
      <sz val="11"/>
      <color rgb="FF0000FF"/>
      <name val="Calibri"/>
      <family val="2"/>
      <scheme val="minor"/>
    </font>
    <font>
      <b/>
      <sz val="11"/>
      <color rgb="FFDD0000"/>
      <name val="Calibri"/>
      <family val="2"/>
      <scheme val="minor"/>
    </font>
    <font>
      <i/>
      <sz val="11"/>
      <color theme="1"/>
      <name val="Calibri"/>
      <family val="2"/>
      <scheme val="minor"/>
    </font>
    <font>
      <sz val="8"/>
      <color theme="1"/>
      <name val="Calibri"/>
      <family val="2"/>
      <scheme val="minor"/>
    </font>
    <font>
      <sz val="8"/>
      <color indexed="81"/>
      <name val="Tahoma"/>
      <family val="2"/>
    </font>
  </fonts>
  <fills count="2">
    <fill>
      <patternFill patternType="none"/>
    </fill>
    <fill>
      <patternFill patternType="gray125"/>
    </fill>
  </fills>
  <borders count="3">
    <border>
      <left/>
      <right/>
      <top/>
      <bottom/>
      <diagonal/>
    </border>
    <border>
      <left style="double">
        <color auto="1"/>
      </left>
      <right style="double">
        <color auto="1"/>
      </right>
      <top style="double">
        <color auto="1"/>
      </top>
      <bottom style="double">
        <color auto="1"/>
      </bottom>
      <diagonal/>
    </border>
    <border>
      <left style="medium">
        <color auto="1"/>
      </left>
      <right/>
      <top/>
      <bottom/>
      <diagonal/>
    </border>
  </borders>
  <cellStyleXfs count="1">
    <xf numFmtId="0" fontId="0" fillId="0" borderId="0"/>
  </cellStyleXfs>
  <cellXfs count="11">
    <xf numFmtId="0" fontId="0" fillId="0" borderId="0" xfId="0"/>
    <xf numFmtId="0" fontId="1" fillId="0" borderId="0" xfId="0" applyFont="1"/>
    <xf numFmtId="0" fontId="2" fillId="0" borderId="1" xfId="0" applyFont="1" applyBorder="1" applyAlignment="1">
      <alignment horizontal="center"/>
    </xf>
    <xf numFmtId="0" fontId="3" fillId="0" borderId="0" xfId="0" applyFont="1"/>
    <xf numFmtId="0" fontId="0" fillId="0" borderId="0" xfId="0" applyAlignment="1">
      <alignment shrinkToFit="1"/>
    </xf>
    <xf numFmtId="164" fontId="0" fillId="0" borderId="0" xfId="0" applyNumberFormat="1"/>
    <xf numFmtId="0" fontId="4" fillId="0" borderId="0" xfId="0" applyFont="1"/>
    <xf numFmtId="0" fontId="5" fillId="0" borderId="0" xfId="0" applyFont="1"/>
    <xf numFmtId="0" fontId="6" fillId="0" borderId="0" xfId="0" applyFont="1"/>
    <xf numFmtId="0" fontId="0" fillId="0" borderId="2" xfId="0" applyBorder="1"/>
    <xf numFmtId="0" fontId="2" fillId="0" borderId="0" xfId="0" applyFont="1"/>
  </cellXfs>
  <cellStyles count="1">
    <cellStyle name="Normal" xfId="0" builtinId="0"/>
  </cellStyles>
  <dxfs count="2">
    <dxf>
      <font>
        <b/>
        <color rgb="FFFF8231"/>
      </font>
    </dxf>
    <dxf>
      <font>
        <b/>
        <color rgb="FF30AA3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1</xdr:col>
      <xdr:colOff>163830</xdr:colOff>
      <xdr:row>10</xdr:row>
      <xdr:rowOff>140970</xdr:rowOff>
    </xdr:to>
    <xdr:pic>
      <xdr:nvPicPr>
        <xdr:cNvPr id="2" name="Picture 1" descr="tmp9339byhj.png"/>
        <xdr:cNvPicPr>
          <a:picLocks noChangeAspect="1"/>
        </xdr:cNvPicPr>
      </xdr:nvPicPr>
      <xdr:blipFill>
        <a:blip xmlns:r="http://schemas.openxmlformats.org/officeDocument/2006/relationships" r:embed="rId1"/>
        <a:stretch>
          <a:fillRect/>
        </a:stretch>
      </xdr:blipFill>
      <xdr:spPr>
        <a:xfrm>
          <a:off x="609600" y="1905000"/>
          <a:ext cx="163830" cy="1409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0</xdr:colOff>
      <xdr:row>2</xdr:row>
      <xdr:rowOff>144780</xdr:rowOff>
    </xdr:to>
    <xdr:sp macro="" textlink="">
      <xdr:nvSpPr>
        <xdr:cNvPr id="2" name="TextBox 1"/>
        <xdr:cNvSpPr txBox="1"/>
      </xdr:nvSpPr>
      <xdr:spPr>
        <a:xfrm>
          <a:off x="0" y="190500"/>
          <a:ext cx="5486400" cy="335280"/>
        </a:xfrm>
        <a:prstGeom prst="rect">
          <a:avLst/>
        </a:prstGeom>
        <a:solidFill>
          <a:srgbClr val="FFFFFF"/>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latin typeface="Courier New"/>
              <a:cs typeface="Courier New"/>
            </a:rPr>
            <a:t>No information available.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B1:L23"/>
  <sheetViews>
    <sheetView tabSelected="1" workbookViewId="0"/>
  </sheetViews>
  <sheetFormatPr defaultRowHeight="15"/>
  <cols>
    <col min="6" max="6" width="10.85546875" customWidth="1"/>
    <col min="11" max="11" width="25.7109375" customWidth="1"/>
  </cols>
  <sheetData>
    <row r="1" spans="2:12">
      <c r="B1" s="1" t="str">
        <f>""</f>
        <v>Formulas are not evaluated so the spreadsheet is not displayed correctly. See the bottom right for more information.</v>
      </c>
    </row>
    <row r="2" spans="2:12">
      <c r="B2" s="2" t="s">
        <v>0</v>
      </c>
      <c r="C2" s="2"/>
      <c r="D2" s="2"/>
      <c r="F2" s="2" t="s">
        <v>12</v>
      </c>
      <c r="G2" s="2"/>
      <c r="H2" s="2"/>
      <c r="J2" s="2" t="s">
        <v>23</v>
      </c>
      <c r="K2" s="2"/>
    </row>
    <row r="3" spans="2:12">
      <c r="B3" t="s">
        <v>1</v>
      </c>
      <c r="C3" s="3" t="s">
        <v>2</v>
      </c>
      <c r="F3" t="s">
        <v>13</v>
      </c>
      <c r="G3">
        <f>-0.03997143411725809*energy_unit</f>
        <v>0</v>
      </c>
      <c r="H3">
        <f>energy_string</f>
        <v>0</v>
      </c>
      <c r="J3" s="4" t="s">
        <v>24</v>
      </c>
      <c r="K3" s="4" t="s">
        <v>25</v>
      </c>
    </row>
    <row r="4" spans="2:12">
      <c r="B4" t="s">
        <v>3</v>
      </c>
      <c r="C4">
        <v>24</v>
      </c>
      <c r="F4" t="s">
        <v>14</v>
      </c>
      <c r="G4" t="s">
        <v>15</v>
      </c>
      <c r="H4">
        <f>energy_string</f>
        <v>0</v>
      </c>
      <c r="J4" t="s">
        <v>26</v>
      </c>
      <c r="K4" t="s">
        <v>27</v>
      </c>
    </row>
    <row r="5" spans="2:12">
      <c r="B5" t="s">
        <v>4</v>
      </c>
      <c r="C5" t="s">
        <v>5</v>
      </c>
      <c r="F5" t="s">
        <v>16</v>
      </c>
      <c r="G5" t="s">
        <v>15</v>
      </c>
      <c r="H5">
        <f>energy_string</f>
        <v>0</v>
      </c>
      <c r="J5" t="s">
        <v>28</v>
      </c>
      <c r="K5" t="s">
        <v>29</v>
      </c>
    </row>
    <row r="6" spans="2:12">
      <c r="B6" t="s">
        <v>6</v>
      </c>
      <c r="C6">
        <f>190.074226*mass_unit</f>
        <v>0</v>
      </c>
      <c r="D6">
        <f>mass_string</f>
        <v>0</v>
      </c>
      <c r="J6" t="s">
        <v>30</v>
      </c>
      <c r="K6" t="s">
        <v>31</v>
      </c>
      <c r="L6">
        <v>125.8120920658112</v>
      </c>
    </row>
    <row r="7" spans="2:12">
      <c r="B7" t="s">
        <v>7</v>
      </c>
      <c r="C7" s="5">
        <v>0</v>
      </c>
      <c r="F7" t="s">
        <v>17</v>
      </c>
      <c r="G7">
        <f>dipole</f>
        <v>0</v>
      </c>
      <c r="H7">
        <f>dipole_string</f>
        <v>0</v>
      </c>
      <c r="J7" t="s">
        <v>32</v>
      </c>
      <c r="K7" t="s">
        <v>33</v>
      </c>
      <c r="L7">
        <v>107.554022</v>
      </c>
    </row>
    <row r="8" spans="2:12">
      <c r="J8" t="s">
        <v>34</v>
      </c>
      <c r="K8" s="6" t="s">
        <v>35</v>
      </c>
    </row>
    <row r="9" spans="2:12">
      <c r="B9" t="s">
        <v>8</v>
      </c>
      <c r="C9" t="s">
        <v>9</v>
      </c>
      <c r="F9" t="s">
        <v>18</v>
      </c>
      <c r="G9" t="s">
        <v>15</v>
      </c>
    </row>
    <row r="10" spans="2:12">
      <c r="B10" t="s">
        <v>10</v>
      </c>
      <c r="C10" t="s">
        <v>11</v>
      </c>
      <c r="J10" s="2" t="s">
        <v>36</v>
      </c>
      <c r="K10" s="2"/>
    </row>
    <row r="11" spans="2:12">
      <c r="F11" t="s">
        <v>19</v>
      </c>
      <c r="G11">
        <f>-0.19412462257435498*energy_unit</f>
        <v>0</v>
      </c>
      <c r="H11">
        <f>energy_string</f>
        <v>0</v>
      </c>
      <c r="J11" s="7" t="s">
        <v>37</v>
      </c>
      <c r="K11" s="7" t="s">
        <v>38</v>
      </c>
    </row>
    <row r="12" spans="2:12">
      <c r="F12" t="s">
        <v>20</v>
      </c>
      <c r="G12">
        <f>-0.07554865777311315*energy_unit</f>
        <v>0</v>
      </c>
      <c r="H12">
        <f>energy_string</f>
        <v>0</v>
      </c>
      <c r="J12" t="s">
        <v>15</v>
      </c>
      <c r="K12" t="s">
        <v>15</v>
      </c>
    </row>
    <row r="13" spans="2:12">
      <c r="F13" t="s">
        <v>21</v>
      </c>
      <c r="G13" t="s">
        <v>15</v>
      </c>
      <c r="H13">
        <f>energy_string</f>
        <v>0</v>
      </c>
    </row>
    <row r="14" spans="2:12">
      <c r="F14" t="s">
        <v>22</v>
      </c>
      <c r="G14">
        <f>0.11857596480124183*energy_unit</f>
        <v>0</v>
      </c>
      <c r="H14">
        <f>energy_string</f>
        <v>0</v>
      </c>
      <c r="J14" s="2" t="s">
        <v>39</v>
      </c>
      <c r="K14" s="2"/>
    </row>
    <row r="15" spans="2:12">
      <c r="J15" s="8" t="s">
        <v>40</v>
      </c>
      <c r="K15" s="8"/>
    </row>
    <row r="16" spans="2:12">
      <c r="J16" s="8" t="s">
        <v>41</v>
      </c>
      <c r="K16" s="8"/>
    </row>
    <row r="17" spans="10:11">
      <c r="J17" s="8" t="s">
        <v>42</v>
      </c>
      <c r="K17" s="8"/>
    </row>
    <row r="18" spans="10:11">
      <c r="J18" s="8" t="s">
        <v>43</v>
      </c>
      <c r="K18" s="8"/>
    </row>
    <row r="19" spans="10:11">
      <c r="J19" s="8" t="s">
        <v>44</v>
      </c>
      <c r="K19" s="8"/>
    </row>
    <row r="20" spans="10:11">
      <c r="J20" s="1" t="str">
        <f>""</f>
        <v>If you use LibreOffice, press Shift+Ctrl+F9 (Mac: Shift+Command+F9) to recalculate all formulas.</v>
      </c>
    </row>
    <row r="21" spans="10:11">
      <c r="J21" s="1" t="str">
        <f>""</f>
        <v>If you use LibreOffice, go to Tools -&gt; Options -&gt; LibreOffice calc -&gt; Formulas and set "Excel 2007 and newer" to "Always recalculate." to do that automatically when you open a .xlsx file.</v>
      </c>
    </row>
    <row r="22" spans="10:11">
      <c r="J22" s="1" t="str">
        <f>""</f>
        <v>If you use OnlyOffice, go to the Formula tab -&gt; Calculation -&gt; Calculate workbook.</v>
      </c>
    </row>
    <row r="23" spans="10:11">
      <c r="J23" s="1" t="str">
        <f>""</f>
        <v>If your spreadsheet viewer cannot evaluate formulas, you cannot view your AMS results in spreadsheet format.</v>
      </c>
    </row>
  </sheetData>
  <mergeCells count="10">
    <mergeCell ref="B2:D2"/>
    <mergeCell ref="F2:H2"/>
    <mergeCell ref="J2:K2"/>
    <mergeCell ref="J10:K10"/>
    <mergeCell ref="J14:K14"/>
    <mergeCell ref="J15:K15"/>
    <mergeCell ref="J16:K16"/>
    <mergeCell ref="J17:K17"/>
    <mergeCell ref="J18:K18"/>
    <mergeCell ref="J19:K19"/>
  </mergeCells>
  <conditionalFormatting sqref="K8">
    <cfRule type="containsText" dxfId="0" priority="1" operator="containsText" text="warning">
      <formula>NOT(ISERROR(SEARCH("warning",K8)))</formula>
    </cfRule>
    <cfRule type="cellIs" dxfId="1" priority="2" operator="equal">
      <formula>"NORMAL TERMINATION"</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dimension ref="A1:W25"/>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2.7109375" customWidth="1"/>
    <col min="2" max="2" width="4.7109375" customWidth="1"/>
    <col min="3" max="3" width="5.7109375" customWidth="1"/>
    <col min="4" max="4" width="9.140625" style="9"/>
    <col min="7" max="8" width="9.140625" style="9"/>
    <col min="11" max="13" width="9.140625" style="9"/>
    <col min="18" max="18" width="5.7109375" customWidth="1"/>
    <col min="20" max="20" width="5.7109375" customWidth="1"/>
    <col min="22" max="22" width="5.7109375" customWidth="1"/>
  </cols>
  <sheetData>
    <row r="1" spans="1:23">
      <c r="A1" s="7" t="s">
        <v>45</v>
      </c>
      <c r="B1" t="s">
        <v>46</v>
      </c>
      <c r="C1" t="s">
        <v>51</v>
      </c>
      <c r="D1" s="9">
        <f>CONCATENATE("x (", length_string, ")")</f>
        <v>0</v>
      </c>
      <c r="E1">
        <f>CONCATENATE("y (", length_string, ")")</f>
        <v>0</v>
      </c>
      <c r="F1">
        <f>CONCATENATE("z (", length_string, ")")</f>
        <v>0</v>
      </c>
      <c r="G1" s="9" t="s">
        <v>76</v>
      </c>
      <c r="H1" s="9" t="s">
        <v>77</v>
      </c>
      <c r="I1" t="s">
        <v>78</v>
      </c>
      <c r="J1" t="s">
        <v>79</v>
      </c>
      <c r="K1" s="9" t="s">
        <v>80</v>
      </c>
      <c r="L1" s="9" t="s">
        <v>81</v>
      </c>
      <c r="M1" s="9">
        <f>CONCATENATE("Mass (", mass_string, ")")</f>
        <v>0</v>
      </c>
    </row>
    <row r="2" spans="1:23">
      <c r="A2">
        <v>1</v>
      </c>
      <c r="B2" t="s">
        <v>47</v>
      </c>
      <c r="C2" t="s">
        <v>52</v>
      </c>
      <c r="D2" s="9">
        <f>-4.15567614e+00*length_unit</f>
        <v>0</v>
      </c>
      <c r="E2">
        <f>2.06045674e+00*length_unit</f>
        <v>0</v>
      </c>
      <c r="F2">
        <f>0.00000000e+00*length_unit</f>
        <v>0</v>
      </c>
      <c r="G2" s="9">
        <f>2.59791111e-01</f>
        <v>0</v>
      </c>
      <c r="H2" s="9">
        <f>0.0916509</f>
        <v>0</v>
      </c>
      <c r="I2">
        <f>0.0574542</f>
        <v>0</v>
      </c>
      <c r="J2">
        <f>-0.0851686</f>
        <v>0</v>
      </c>
      <c r="K2" s="9">
        <f>127.1468535</f>
        <v>0</v>
      </c>
      <c r="L2" s="9">
        <f>14.7716217</f>
        <v>0</v>
      </c>
      <c r="M2" s="9">
        <f>12.000000*mass_unit</f>
        <v>0</v>
      </c>
      <c r="R2" s="2" t="s">
        <v>82</v>
      </c>
      <c r="S2" s="2"/>
      <c r="T2" s="2" t="s">
        <v>83</v>
      </c>
      <c r="U2" s="2"/>
      <c r="V2" s="2" t="s">
        <v>84</v>
      </c>
      <c r="W2" s="2"/>
    </row>
    <row r="3" spans="1:23">
      <c r="A3">
        <v>2</v>
      </c>
      <c r="B3" t="s">
        <v>48</v>
      </c>
      <c r="C3" t="s">
        <v>53</v>
      </c>
      <c r="D3" s="9">
        <f>-1.33496971e+00*length_unit</f>
        <v>0</v>
      </c>
      <c r="E3">
        <f>-2.28557393e+00*length_unit</f>
        <v>0</v>
      </c>
      <c r="F3">
        <f>0.00000000e+00*length_unit</f>
        <v>0</v>
      </c>
      <c r="G3" s="9">
        <f>-1.10515170e-01</f>
        <v>0</v>
      </c>
      <c r="H3" s="9">
        <f>-0.0252409</f>
        <v>0</v>
      </c>
      <c r="I3">
        <f>0.0109719</f>
        <v>0</v>
      </c>
      <c r="J3">
        <f>-0.1485072</f>
        <v>0</v>
      </c>
      <c r="K3" s="9">
        <f>205.9201638</f>
        <v>0</v>
      </c>
      <c r="L3" s="9">
        <f>18.3776035</f>
        <v>0</v>
      </c>
      <c r="M3" s="9">
        <f>14.003074*mass_unit</f>
        <v>0</v>
      </c>
      <c r="Q3" s="10">
        <f>D1</f>
        <v>0</v>
      </c>
      <c r="R3" s="7">
        <f>INDEX($C$2:$C$25,MATCH(MIN($D$2:$D$25),$D$2:$D$25,0))</f>
        <v>0</v>
      </c>
      <c r="S3">
        <f>MIN($D$2:$D$25)</f>
        <v>0</v>
      </c>
      <c r="T3" s="7">
        <f>INDEX($C$2:$C$25,MATCH(MAX($D$2:$D$25),$D$2:$D$25,0))</f>
        <v>0</v>
      </c>
      <c r="U3">
        <f>MAX($D$2:$D$25)</f>
        <v>0</v>
      </c>
      <c r="V3" s="7">
        <f t="array" ref="V3">INDEX($C$2:$C$25,MATCH(MIN(ABS($D$2:$D$25)),ABS($D$2:$D$25),0))</f>
        <v>0</v>
      </c>
      <c r="W3">
        <f t="array" ref="W3">INDEX($D$2:$D$25, MATCH(MIN(ABS($D$2:$D$25)),ABS($D$2:$D$25),0))</f>
        <v>0</v>
      </c>
    </row>
    <row r="4" spans="1:23">
      <c r="A4">
        <v>3</v>
      </c>
      <c r="B4" t="s">
        <v>47</v>
      </c>
      <c r="C4" t="s">
        <v>54</v>
      </c>
      <c r="D4" s="9">
        <f>-5.38370331e+00*length_unit</f>
        <v>0</v>
      </c>
      <c r="E4">
        <f>-3.26353094e-01*length_unit</f>
        <v>0</v>
      </c>
      <c r="F4">
        <f>0.00000000e+00*length_unit</f>
        <v>0</v>
      </c>
      <c r="G4" s="9">
        <f>1.68385363e-01</f>
        <v>0</v>
      </c>
      <c r="H4" s="9">
        <f>0.0396239</f>
        <v>0</v>
      </c>
      <c r="I4">
        <f>0.0078845</f>
        <v>0</v>
      </c>
      <c r="J4">
        <f>-0.1908066</f>
        <v>0</v>
      </c>
      <c r="K4" s="9">
        <f>127.0608930</f>
        <v>0</v>
      </c>
      <c r="L4" s="9">
        <f>14.7844137</f>
        <v>0</v>
      </c>
      <c r="M4" s="9">
        <f>12.000000*mass_unit</f>
        <v>0</v>
      </c>
      <c r="Q4" s="10">
        <f>E1</f>
        <v>0</v>
      </c>
      <c r="R4" s="7">
        <f>INDEX($C$2:$C$25,MATCH(MIN($E$2:$E$25),$E$2:$E$25,0))</f>
        <v>0</v>
      </c>
      <c r="S4">
        <f>MIN($E$2:$E$25)</f>
        <v>0</v>
      </c>
      <c r="T4" s="7">
        <f>INDEX($C$2:$C$25,MATCH(MAX($E$2:$E$25),$E$2:$E$25,0))</f>
        <v>0</v>
      </c>
      <c r="U4">
        <f>MAX($E$2:$E$25)</f>
        <v>0</v>
      </c>
      <c r="V4" s="7">
        <f t="array" ref="V4">INDEX($C$2:$C$25,MATCH(MIN(ABS($E$2:$E$25)),ABS($E$2:$E$25),0))</f>
        <v>0</v>
      </c>
      <c r="W4">
        <f t="array" ref="W4">INDEX($E$2:$E$25, MATCH(MIN(ABS($E$2:$E$25)),ABS($E$2:$E$25),0))</f>
        <v>0</v>
      </c>
    </row>
    <row r="5" spans="1:23">
      <c r="A5">
        <v>4</v>
      </c>
      <c r="B5" t="s">
        <v>47</v>
      </c>
      <c r="C5" t="s">
        <v>55</v>
      </c>
      <c r="D5" s="9">
        <f>-1.56251734e+00*length_unit</f>
        <v>0</v>
      </c>
      <c r="E5">
        <f>2.23314730e+00*length_unit</f>
        <v>0</v>
      </c>
      <c r="F5">
        <f>0.00000000e+00*length_unit</f>
        <v>0</v>
      </c>
      <c r="G5" s="9">
        <f>1.29020251e-01</f>
        <v>0</v>
      </c>
      <c r="H5" s="9">
        <f>0.0580737</f>
        <v>0</v>
      </c>
      <c r="I5">
        <f>0.0348096</f>
        <v>0</v>
      </c>
      <c r="J5">
        <f>-0.1696824</f>
        <v>0</v>
      </c>
      <c r="K5" s="9">
        <f>127.1148452</f>
        <v>0</v>
      </c>
      <c r="L5" s="9">
        <f>14.7879536</f>
        <v>0</v>
      </c>
      <c r="M5" s="9">
        <f>12.000000*mass_unit</f>
        <v>0</v>
      </c>
      <c r="Q5" s="10">
        <f>F1</f>
        <v>0</v>
      </c>
      <c r="R5" s="7">
        <f>INDEX($C$2:$C$25,MATCH(MIN($F$2:$F$25),$F$2:$F$25,0))</f>
        <v>0</v>
      </c>
      <c r="S5">
        <f>MIN($F$2:$F$25)</f>
        <v>0</v>
      </c>
      <c r="T5" s="7">
        <f>INDEX($C$2:$C$25,MATCH(MAX($F$2:$F$25),$F$2:$F$25,0))</f>
        <v>0</v>
      </c>
      <c r="U5">
        <f>MAX($F$2:$F$25)</f>
        <v>0</v>
      </c>
      <c r="V5" s="7">
        <f t="array" ref="V5">INDEX($C$2:$C$25,MATCH(MIN(ABS($F$2:$F$25)),ABS($F$2:$F$25),0))</f>
        <v>0</v>
      </c>
      <c r="W5">
        <f t="array" ref="W5">INDEX($F$2:$F$25, MATCH(MIN(ABS($F$2:$F$25)),ABS($F$2:$F$25),0))</f>
        <v>0</v>
      </c>
    </row>
    <row r="6" spans="1:23">
      <c r="A6">
        <v>5</v>
      </c>
      <c r="B6" t="s">
        <v>47</v>
      </c>
      <c r="C6" t="s">
        <v>56</v>
      </c>
      <c r="D6" s="9">
        <f>3.62260498e-05*length_unit</f>
        <v>0</v>
      </c>
      <c r="E6">
        <f>1.02423156e-05*length_unit</f>
        <v>0</v>
      </c>
      <c r="F6">
        <f>0.00000000e+00*length_unit</f>
        <v>0</v>
      </c>
      <c r="G6" s="9">
        <f>5.08158551e-01</f>
        <v>0</v>
      </c>
      <c r="H6" s="9">
        <f>0.2561947</f>
        <v>0</v>
      </c>
      <c r="I6">
        <f>0.2976305</f>
        <v>0</v>
      </c>
      <c r="J6">
        <f>0.4117460</f>
        <v>0</v>
      </c>
      <c r="K6" s="9">
        <f>127.1099766</f>
        <v>0</v>
      </c>
      <c r="L6" s="9">
        <f>14.6972922</f>
        <v>0</v>
      </c>
      <c r="M6" s="9">
        <f>12.000000*mass_unit</f>
        <v>0</v>
      </c>
      <c r="Q6" s="10">
        <f>G1</f>
        <v>0</v>
      </c>
      <c r="R6" s="7">
        <f>INDEX($C$2:$C$25,MATCH(MIN($G$2:$G$25),$G$2:$G$25,0))</f>
        <v>0</v>
      </c>
      <c r="S6">
        <f>MIN($G$2:$G$25)</f>
        <v>0</v>
      </c>
      <c r="T6" s="7">
        <f>INDEX($C$2:$C$25,MATCH(MAX($G$2:$G$25),$G$2:$G$25,0))</f>
        <v>0</v>
      </c>
      <c r="U6">
        <f>MAX($G$2:$G$25)</f>
        <v>0</v>
      </c>
      <c r="V6" s="7">
        <f t="array" ref="V6">INDEX($C$2:$C$25,MATCH(MIN(ABS($G$2:$G$25)),ABS($G$2:$G$25),0))</f>
        <v>0</v>
      </c>
      <c r="W6">
        <f t="array" ref="W6">INDEX($G$2:$G$25, MATCH(MIN(ABS($G$2:$G$25)),ABS($G$2:$G$25),0))</f>
        <v>0</v>
      </c>
    </row>
    <row r="7" spans="1:23">
      <c r="A7">
        <v>6</v>
      </c>
      <c r="B7" t="s">
        <v>47</v>
      </c>
      <c r="C7" t="s">
        <v>57</v>
      </c>
      <c r="D7" s="9">
        <f>-3.90009790e+00*length_unit</f>
        <v>0</v>
      </c>
      <c r="E7">
        <f>-2.45647810e+00*length_unit</f>
        <v>0</v>
      </c>
      <c r="F7">
        <f>0.00000000e+00*length_unit</f>
        <v>0</v>
      </c>
      <c r="G7" s="9">
        <f>3.85377915e-01</f>
        <v>0</v>
      </c>
      <c r="H7" s="9">
        <f>0.1678022</f>
        <v>0</v>
      </c>
      <c r="I7">
        <f>0.1290565</f>
        <v>0</v>
      </c>
      <c r="J7">
        <f>0.0021286</f>
        <v>0</v>
      </c>
      <c r="K7" s="9">
        <f>127.1190231</f>
        <v>0</v>
      </c>
      <c r="L7" s="9">
        <f>14.7396915</f>
        <v>0</v>
      </c>
      <c r="M7" s="9">
        <f>12.000000*mass_unit</f>
        <v>0</v>
      </c>
      <c r="Q7" s="10">
        <f>H1</f>
        <v>0</v>
      </c>
      <c r="R7" s="7">
        <f>INDEX($C$2:$C$25,MATCH(MIN($H$2:$H$25),$H$2:$H$25,0))</f>
        <v>0</v>
      </c>
      <c r="S7">
        <f>MIN($H$2:$H$25)</f>
        <v>0</v>
      </c>
      <c r="T7" s="7">
        <f>INDEX($C$2:$C$25,MATCH(MAX($H$2:$H$25),$H$2:$H$25,0))</f>
        <v>0</v>
      </c>
      <c r="U7">
        <f>MAX($H$2:$H$25)</f>
        <v>0</v>
      </c>
      <c r="V7" s="7">
        <f t="array" ref="V7">INDEX($C$2:$C$25,MATCH(MIN(ABS($H$2:$H$25)),ABS($H$2:$H$25),0))</f>
        <v>0</v>
      </c>
      <c r="W7">
        <f t="array" ref="W7">INDEX($H$2:$H$25, MATCH(MIN(ABS($H$2:$H$25)),ABS($H$2:$H$25),0))</f>
        <v>0</v>
      </c>
    </row>
    <row r="8" spans="1:23">
      <c r="A8">
        <v>7</v>
      </c>
      <c r="B8" t="s">
        <v>49</v>
      </c>
      <c r="C8" t="s">
        <v>58</v>
      </c>
      <c r="D8" s="9">
        <f>-5.28812272e+00*length_unit</f>
        <v>0</v>
      </c>
      <c r="E8">
        <f>3.77790955e+00*length_unit</f>
        <v>0</v>
      </c>
      <c r="F8">
        <f>0.00000000e+00*length_unit</f>
        <v>0</v>
      </c>
      <c r="G8" s="9">
        <f>-2.08594372e-01</f>
        <v>0</v>
      </c>
      <c r="H8" s="9">
        <f>-0.0557370</f>
        <v>0</v>
      </c>
      <c r="I8">
        <f>-0.0291089</f>
        <v>0</v>
      </c>
      <c r="J8">
        <f>0.1223284</f>
        <v>0</v>
      </c>
      <c r="K8" s="9">
        <f>0.5087529</f>
        <v>0</v>
      </c>
      <c r="L8" s="9">
        <f>1.0952806</f>
        <v>0</v>
      </c>
      <c r="M8" s="9">
        <f>1.007825*mass_unit</f>
        <v>0</v>
      </c>
      <c r="Q8" s="10">
        <f>I1</f>
        <v>0</v>
      </c>
      <c r="R8" s="7">
        <f>INDEX($C$2:$C$25,MATCH(MIN($I$2:$I$25),$I$2:$I$25,0))</f>
        <v>0</v>
      </c>
      <c r="S8">
        <f>MIN($I$2:$I$25)</f>
        <v>0</v>
      </c>
      <c r="T8" s="7">
        <f>INDEX($C$2:$C$25,MATCH(MAX($I$2:$I$25),$I$2:$I$25,0))</f>
        <v>0</v>
      </c>
      <c r="U8">
        <f>MAX($I$2:$I$25)</f>
        <v>0</v>
      </c>
      <c r="V8" s="7">
        <f t="array" ref="V8">INDEX($C$2:$C$25,MATCH(MIN(ABS($I$2:$I$25)),ABS($I$2:$I$25),0))</f>
        <v>0</v>
      </c>
      <c r="W8">
        <f t="array" ref="W8">INDEX($I$2:$I$25, MATCH(MIN(ABS($I$2:$I$25)),ABS($I$2:$I$25),0))</f>
        <v>0</v>
      </c>
    </row>
    <row r="9" spans="1:23">
      <c r="A9">
        <v>8</v>
      </c>
      <c r="B9" t="s">
        <v>49</v>
      </c>
      <c r="C9" t="s">
        <v>59</v>
      </c>
      <c r="D9" s="9">
        <f>-5.91548074e-01*length_unit</f>
        <v>0</v>
      </c>
      <c r="E9">
        <f>4.04083913e+00*length_unit</f>
        <v>0</v>
      </c>
      <c r="F9">
        <f>0.00000000e+00*length_unit</f>
        <v>0</v>
      </c>
      <c r="G9" s="9">
        <f>-1.84241021e-01</f>
        <v>0</v>
      </c>
      <c r="H9" s="9">
        <f>-0.0498124</f>
        <v>0</v>
      </c>
      <c r="I9">
        <f>-0.0266996</f>
        <v>0</v>
      </c>
      <c r="J9">
        <f>0.1222757</f>
        <v>0</v>
      </c>
      <c r="K9" s="9">
        <f>0.5062688</f>
        <v>0</v>
      </c>
      <c r="L9" s="9">
        <f>1.1024373</f>
        <v>0</v>
      </c>
      <c r="M9" s="9">
        <f>1.007825*mass_unit</f>
        <v>0</v>
      </c>
      <c r="Q9" s="10">
        <f>J1</f>
        <v>0</v>
      </c>
      <c r="R9" s="7">
        <f>INDEX($C$2:$C$25,MATCH(MIN($J$2:$J$25),$J$2:$J$25,0))</f>
        <v>0</v>
      </c>
      <c r="S9">
        <f>MIN($J$2:$J$25)</f>
        <v>0</v>
      </c>
      <c r="T9" s="7">
        <f>INDEX($C$2:$C$25,MATCH(MAX($J$2:$J$25),$J$2:$J$25,0))</f>
        <v>0</v>
      </c>
      <c r="U9">
        <f>MAX($J$2:$J$25)</f>
        <v>0</v>
      </c>
      <c r="V9" s="7">
        <f t="array" ref="V9">INDEX($C$2:$C$25,MATCH(MIN(ABS($J$2:$J$25)),ABS($J$2:$J$25),0))</f>
        <v>0</v>
      </c>
      <c r="W9">
        <f t="array" ref="W9">INDEX($J$2:$J$25, MATCH(MIN(ABS($J$2:$J$25)),ABS($J$2:$J$25),0))</f>
        <v>0</v>
      </c>
    </row>
    <row r="10" spans="1:23">
      <c r="A10">
        <v>9</v>
      </c>
      <c r="B10" t="s">
        <v>50</v>
      </c>
      <c r="C10" t="s">
        <v>60</v>
      </c>
      <c r="D10" s="9">
        <f>2.37933765e+00*length_unit</f>
        <v>0</v>
      </c>
      <c r="E10">
        <f>-1.91807202e-05*length_unit</f>
        <v>0</v>
      </c>
      <c r="F10">
        <f>0.00000000e+00*length_unit</f>
        <v>0</v>
      </c>
      <c r="G10" s="9">
        <f>-6.44225435e-01</f>
        <v>0</v>
      </c>
      <c r="H10" s="9">
        <f>-0.4333796</f>
        <v>0</v>
      </c>
      <c r="I10">
        <f>-0.5296886</f>
        <v>0</v>
      </c>
      <c r="J10">
        <f>-0.5232625</f>
        <v>0</v>
      </c>
      <c r="K10" s="9">
        <f>313.8485278</f>
        <v>0</v>
      </c>
      <c r="L10" s="9">
        <f>22.4416341</f>
        <v>0</v>
      </c>
      <c r="M10" s="9">
        <f>15.994914*mass_unit</f>
        <v>0</v>
      </c>
      <c r="Q10" s="10">
        <f>K1</f>
        <v>0</v>
      </c>
      <c r="R10" s="7">
        <f>INDEX($C$2:$C$25,MATCH(MIN($K$2:$K$25),$K$2:$K$25,0))</f>
        <v>0</v>
      </c>
      <c r="S10">
        <f>MIN($K$2:$K$25)</f>
        <v>0</v>
      </c>
      <c r="T10" s="7">
        <f>INDEX($C$2:$C$25,MATCH(MAX($K$2:$K$25),$K$2:$K$25,0))</f>
        <v>0</v>
      </c>
      <c r="U10">
        <f>MAX($K$2:$K$25)</f>
        <v>0</v>
      </c>
      <c r="V10" s="7">
        <f t="array" ref="V10">INDEX($C$2:$C$25,MATCH(MIN(ABS($K$2:$K$25)),ABS($K$2:$K$25),0))</f>
        <v>0</v>
      </c>
      <c r="W10">
        <f t="array" ref="W10">INDEX($K$2:$K$25, MATCH(MIN(ABS($K$2:$K$25)),ABS($K$2:$K$25),0))</f>
        <v>0</v>
      </c>
    </row>
    <row r="11" spans="1:23">
      <c r="A11">
        <v>10</v>
      </c>
      <c r="B11" t="s">
        <v>49</v>
      </c>
      <c r="C11" t="s">
        <v>61</v>
      </c>
      <c r="D11" s="9">
        <f>-2.57700100e-01*length_unit</f>
        <v>0</v>
      </c>
      <c r="E11">
        <f>-3.95969421e+00*length_unit</f>
        <v>0</v>
      </c>
      <c r="F11">
        <f>0.00000000e+00*length_unit</f>
        <v>0</v>
      </c>
      <c r="G11" s="9">
        <f>1.04902132e-01</f>
        <v>0</v>
      </c>
      <c r="H11" s="9">
        <f>0.0451888</f>
        <v>0</v>
      </c>
      <c r="I11">
        <f>0.0972407</f>
        <v>0</v>
      </c>
      <c r="J11">
        <f>0.1991532</f>
        <v>0</v>
      </c>
      <c r="K11" s="9">
        <f>0.4414839</f>
        <v>0</v>
      </c>
      <c r="L11" s="9">
        <f>1.0149069</f>
        <v>0</v>
      </c>
      <c r="M11" s="9">
        <f>1.007825*mass_unit</f>
        <v>0</v>
      </c>
      <c r="Q11" s="10">
        <f>L1</f>
        <v>0</v>
      </c>
      <c r="R11" s="7">
        <f>INDEX($C$2:$C$25,MATCH(MIN($L$2:$L$25),$L$2:$L$25,0))</f>
        <v>0</v>
      </c>
      <c r="S11">
        <f>MIN($L$2:$L$25)</f>
        <v>0</v>
      </c>
      <c r="T11" s="7">
        <f>INDEX($C$2:$C$25,MATCH(MAX($L$2:$L$25),$L$2:$L$25,0))</f>
        <v>0</v>
      </c>
      <c r="U11">
        <f>MAX($L$2:$L$25)</f>
        <v>0</v>
      </c>
      <c r="V11" s="7">
        <f t="array" ref="V11">INDEX($C$2:$C$25,MATCH(MIN(ABS($L$2:$L$25)),ABS($L$2:$L$25),0))</f>
        <v>0</v>
      </c>
      <c r="W11">
        <f t="array" ref="W11">INDEX($L$2:$L$25, MATCH(MIN(ABS($L$2:$L$25)),ABS($L$2:$L$25),0))</f>
        <v>0</v>
      </c>
    </row>
    <row r="12" spans="1:23">
      <c r="A12">
        <v>11</v>
      </c>
      <c r="B12" t="s">
        <v>49</v>
      </c>
      <c r="C12" t="s">
        <v>62</v>
      </c>
      <c r="D12" s="9">
        <f>-4.65846644e+00*length_unit</f>
        <v>0</v>
      </c>
      <c r="E12">
        <f>-4.36411698e+00*length_unit</f>
        <v>0</v>
      </c>
      <c r="F12">
        <f>0.00000000e+00*length_unit</f>
        <v>0</v>
      </c>
      <c r="G12" s="9">
        <f>-1.99706332e-01</f>
        <v>0</v>
      </c>
      <c r="H12" s="9">
        <f>-0.0351019</f>
        <v>0</v>
      </c>
      <c r="I12">
        <f>-0.0067138</f>
        <v>0</v>
      </c>
      <c r="J12">
        <f>0.1357403</f>
        <v>0</v>
      </c>
      <c r="K12" s="9">
        <f>0.5073817</f>
        <v>0</v>
      </c>
      <c r="L12" s="9">
        <f>1.0799368</f>
        <v>0</v>
      </c>
      <c r="M12" s="9">
        <f>1.007825*mass_unit</f>
        <v>0</v>
      </c>
      <c r="Q12" s="10">
        <f>M1</f>
        <v>0</v>
      </c>
      <c r="R12" s="7">
        <f>INDEX($C$2:$C$25,MATCH(MIN($M$2:$M$25),$M$2:$M$25,0))</f>
        <v>0</v>
      </c>
      <c r="S12">
        <f>MIN($M$2:$M$25)</f>
        <v>0</v>
      </c>
      <c r="T12" s="7">
        <f>INDEX($C$2:$C$25,MATCH(MAX($M$2:$M$25),$M$2:$M$25,0))</f>
        <v>0</v>
      </c>
      <c r="U12">
        <f>MAX($M$2:$M$25)</f>
        <v>0</v>
      </c>
      <c r="V12" s="7">
        <f t="array" ref="V12">INDEX($C$2:$C$25,MATCH(MIN(ABS($M$2:$M$25)),ABS($M$2:$M$25),0))</f>
        <v>0</v>
      </c>
      <c r="W12">
        <f t="array" ref="W12">INDEX($M$2:$M$25, MATCH(MIN(ABS($M$2:$M$25)),ABS($M$2:$M$25),0))</f>
        <v>0</v>
      </c>
    </row>
    <row r="13" spans="1:23">
      <c r="A13">
        <v>12</v>
      </c>
      <c r="B13" t="s">
        <v>49</v>
      </c>
      <c r="C13" t="s">
        <v>63</v>
      </c>
      <c r="D13" s="9">
        <f>-7.42677715e+00*length_unit</f>
        <v>0</v>
      </c>
      <c r="E13">
        <f>-4.85865084e-01*length_unit</f>
        <v>0</v>
      </c>
      <c r="F13">
        <f>0.00000000e+00*length_unit</f>
        <v>0</v>
      </c>
      <c r="G13" s="9">
        <f>-2.08362080e-01</f>
        <v>0</v>
      </c>
      <c r="H13" s="9">
        <f>-0.0592756</f>
        <v>0</v>
      </c>
      <c r="I13">
        <f>-0.0428483</f>
        <v>0</v>
      </c>
      <c r="J13">
        <f>0.1240438</f>
        <v>0</v>
      </c>
      <c r="K13" s="9">
        <f>0.5067162</f>
        <v>0</v>
      </c>
      <c r="L13" s="9">
        <f>1.0951708</f>
        <v>0</v>
      </c>
      <c r="M13" s="9">
        <f>1.007825*mass_unit</f>
        <v>0</v>
      </c>
    </row>
    <row r="14" spans="1:23">
      <c r="A14">
        <v>13</v>
      </c>
      <c r="B14" t="s">
        <v>47</v>
      </c>
      <c r="C14" t="s">
        <v>64</v>
      </c>
      <c r="D14" s="9">
        <f>7.96601897e+00*length_unit</f>
        <v>0</v>
      </c>
      <c r="E14">
        <f>-8.81236940e+00*length_unit</f>
        <v>0</v>
      </c>
      <c r="F14">
        <f>0.00000000e+00*length_unit</f>
        <v>0</v>
      </c>
      <c r="G14" s="9">
        <f>2.59791766e-01</f>
        <v>0</v>
      </c>
      <c r="H14" s="9">
        <f>0.0916519</f>
        <v>0</v>
      </c>
      <c r="I14">
        <f>0.0574547</f>
        <v>0</v>
      </c>
      <c r="J14">
        <f>-0.0851670</f>
        <v>0</v>
      </c>
      <c r="K14" s="9">
        <f>127.1468537</f>
        <v>0</v>
      </c>
      <c r="L14" s="9">
        <f>14.7716189</f>
        <v>0</v>
      </c>
      <c r="M14" s="9">
        <f>12.000000*mass_unit</f>
        <v>0</v>
      </c>
    </row>
    <row r="15" spans="1:23">
      <c r="A15">
        <v>14</v>
      </c>
      <c r="B15" t="s">
        <v>48</v>
      </c>
      <c r="C15" t="s">
        <v>65</v>
      </c>
      <c r="D15" s="9">
        <f>5.14541406e+00*length_unit</f>
        <v>0</v>
      </c>
      <c r="E15">
        <f>-4.46627474e+00*length_unit</f>
        <v>0</v>
      </c>
      <c r="F15">
        <f>0.00000000e+00*length_unit</f>
        <v>0</v>
      </c>
      <c r="G15" s="9">
        <f>-1.10505562e-01</f>
        <v>0</v>
      </c>
      <c r="H15" s="9">
        <f>-0.0252364</f>
        <v>0</v>
      </c>
      <c r="I15">
        <f>0.0109749</f>
        <v>0</v>
      </c>
      <c r="J15">
        <f>-0.1485074</f>
        <v>0</v>
      </c>
      <c r="K15" s="9">
        <f>205.9201557</f>
        <v>0</v>
      </c>
      <c r="L15" s="9">
        <f>18.3775988</f>
        <v>0</v>
      </c>
      <c r="M15" s="9">
        <f>14.003074*mass_unit</f>
        <v>0</v>
      </c>
    </row>
    <row r="16" spans="1:23">
      <c r="A16">
        <v>15</v>
      </c>
      <c r="B16" t="s">
        <v>47</v>
      </c>
      <c r="C16" t="s">
        <v>66</v>
      </c>
      <c r="D16" s="9">
        <f>9.19410160e+00*length_unit</f>
        <v>0</v>
      </c>
      <c r="E16">
        <f>-6.42558444e+00*length_unit</f>
        <v>0</v>
      </c>
      <c r="F16">
        <f>0.00000000e+00*length_unit</f>
        <v>0</v>
      </c>
      <c r="G16" s="9">
        <f>1.68387315e-01</f>
        <v>0</v>
      </c>
      <c r="H16" s="9">
        <f>0.0396255</f>
        <v>0</v>
      </c>
      <c r="I16">
        <f>0.0078856</f>
        <v>0</v>
      </c>
      <c r="J16">
        <f>-0.1908039</f>
        <v>0</v>
      </c>
      <c r="K16" s="9">
        <f>127.0608943</f>
        <v>0</v>
      </c>
      <c r="L16" s="9">
        <f>14.7844108</f>
        <v>0</v>
      </c>
      <c r="M16" s="9">
        <f>12.000000*mass_unit</f>
        <v>0</v>
      </c>
    </row>
    <row r="17" spans="1:13">
      <c r="A17">
        <v>16</v>
      </c>
      <c r="B17" t="s">
        <v>47</v>
      </c>
      <c r="C17" t="s">
        <v>67</v>
      </c>
      <c r="D17" s="9">
        <f>5.37285870e+00*length_unit</f>
        <v>0</v>
      </c>
      <c r="E17">
        <f>-8.98500045e+00*length_unit</f>
        <v>0</v>
      </c>
      <c r="F17">
        <f>0.00000000e+00*length_unit</f>
        <v>0</v>
      </c>
      <c r="G17" s="9">
        <f>1.29021829e-01</f>
        <v>0</v>
      </c>
      <c r="H17" s="9">
        <f>0.0580751</f>
        <v>0</v>
      </c>
      <c r="I17">
        <f>0.0348099</f>
        <v>0</v>
      </c>
      <c r="J17">
        <f>-0.1696800</f>
        <v>0</v>
      </c>
      <c r="K17" s="9">
        <f>127.1148461</f>
        <v>0</v>
      </c>
      <c r="L17" s="9">
        <f>14.7879505</f>
        <v>0</v>
      </c>
      <c r="M17" s="9">
        <f>12.000000*mass_unit</f>
        <v>0</v>
      </c>
    </row>
    <row r="18" spans="1:13">
      <c r="A18">
        <v>17</v>
      </c>
      <c r="B18" t="s">
        <v>47</v>
      </c>
      <c r="C18" t="s">
        <v>68</v>
      </c>
      <c r="D18" s="9">
        <f>3.81035827e+00*length_unit</f>
        <v>0</v>
      </c>
      <c r="E18">
        <f>-6.75182243e+00*length_unit</f>
        <v>0</v>
      </c>
      <c r="F18">
        <f>0.00000000e+00*length_unit</f>
        <v>0</v>
      </c>
      <c r="G18" s="9">
        <f>5.08159922e-01</f>
        <v>0</v>
      </c>
      <c r="H18" s="9">
        <f>0.2561960</f>
        <v>0</v>
      </c>
      <c r="I18">
        <f>0.2976292</f>
        <v>0</v>
      </c>
      <c r="J18">
        <f>0.4117416</f>
        <v>0</v>
      </c>
      <c r="K18" s="9">
        <f>127.1099759</f>
        <v>0</v>
      </c>
      <c r="L18" s="9">
        <f>14.6972887</f>
        <v>0</v>
      </c>
      <c r="M18" s="9">
        <f>12.000000*mass_unit</f>
        <v>0</v>
      </c>
    </row>
    <row r="19" spans="1:13">
      <c r="A19">
        <v>18</v>
      </c>
      <c r="B19" t="s">
        <v>47</v>
      </c>
      <c r="C19" t="s">
        <v>69</v>
      </c>
      <c r="D19" s="9">
        <f>7.71054975e+00*length_unit</f>
        <v>0</v>
      </c>
      <c r="E19">
        <f>-4.29542553e+00*length_unit</f>
        <v>0</v>
      </c>
      <c r="F19">
        <f>0.00000000e+00*length_unit</f>
        <v>0</v>
      </c>
      <c r="G19" s="9">
        <f>3.85377057e-01</f>
        <v>0</v>
      </c>
      <c r="H19" s="9">
        <f>0.1678030</f>
        <v>0</v>
      </c>
      <c r="I19">
        <f>0.1290563</f>
        <v>0</v>
      </c>
      <c r="J19">
        <f>0.0021275</f>
        <v>0</v>
      </c>
      <c r="K19" s="9">
        <f>127.1190230</f>
        <v>0</v>
      </c>
      <c r="L19" s="9">
        <f>14.7396884</f>
        <v>0</v>
      </c>
      <c r="M19" s="9">
        <f>12.000000*mass_unit</f>
        <v>0</v>
      </c>
    </row>
    <row r="20" spans="1:13">
      <c r="A20">
        <v>19</v>
      </c>
      <c r="B20" t="s">
        <v>49</v>
      </c>
      <c r="C20" t="s">
        <v>70</v>
      </c>
      <c r="D20" s="9">
        <f>9.09843234e+00*length_unit</f>
        <v>0</v>
      </c>
      <c r="E20">
        <f>-1.05298439e+01*length_unit</f>
        <v>0</v>
      </c>
      <c r="F20">
        <f>0.00000000e+00*length_unit</f>
        <v>0</v>
      </c>
      <c r="G20" s="9">
        <f>-2.08593031e-01</f>
        <v>0</v>
      </c>
      <c r="H20" s="9">
        <f>-0.0557361</f>
        <v>0</v>
      </c>
      <c r="I20">
        <f>-0.0291076</f>
        <v>0</v>
      </c>
      <c r="J20">
        <f>0.1223292</f>
        <v>0</v>
      </c>
      <c r="K20" s="9">
        <f>0.5087528</f>
        <v>0</v>
      </c>
      <c r="L20" s="9">
        <f>1.0952780</f>
        <v>0</v>
      </c>
      <c r="M20" s="9">
        <f>1.007825*mass_unit</f>
        <v>0</v>
      </c>
    </row>
    <row r="21" spans="1:13">
      <c r="A21">
        <v>20</v>
      </c>
      <c r="B21" t="s">
        <v>49</v>
      </c>
      <c r="C21" t="s">
        <v>71</v>
      </c>
      <c r="D21" s="9">
        <f>4.40183842e+00*length_unit</f>
        <v>0</v>
      </c>
      <c r="E21">
        <f>-1.07926647e+01*length_unit</f>
        <v>0</v>
      </c>
      <c r="F21">
        <f>0.00000000e+00*length_unit</f>
        <v>0</v>
      </c>
      <c r="G21" s="9">
        <f>-1.84239864e-01</f>
        <v>0</v>
      </c>
      <c r="H21" s="9">
        <f>-0.0498113</f>
        <v>0</v>
      </c>
      <c r="I21">
        <f>-0.0266984</f>
        <v>0</v>
      </c>
      <c r="J21">
        <f>0.1222763</f>
        <v>0</v>
      </c>
      <c r="K21" s="9">
        <f>0.5062687</f>
        <v>0</v>
      </c>
      <c r="L21" s="9">
        <f>1.1024345</f>
        <v>0</v>
      </c>
      <c r="M21" s="9">
        <f>1.007825*mass_unit</f>
        <v>0</v>
      </c>
    </row>
    <row r="22" spans="1:13">
      <c r="A22">
        <v>21</v>
      </c>
      <c r="B22" t="s">
        <v>50</v>
      </c>
      <c r="C22" t="s">
        <v>72</v>
      </c>
      <c r="D22" s="9">
        <f>1.43105588e+00*length_unit</f>
        <v>0</v>
      </c>
      <c r="E22">
        <f>-6.75173956e+00*length_unit</f>
        <v>0</v>
      </c>
      <c r="F22">
        <f>0.00000000e+00*length_unit</f>
        <v>0</v>
      </c>
      <c r="G22" s="9">
        <f>-6.44220803e-01</f>
        <v>0</v>
      </c>
      <c r="H22" s="9">
        <f>-0.4333708</f>
        <v>0</v>
      </c>
      <c r="I22">
        <f>-0.5296788</f>
        <v>0</v>
      </c>
      <c r="J22">
        <f>-0.5232519</f>
        <v>0</v>
      </c>
      <c r="K22" s="9">
        <f>313.8485280</f>
        <v>0</v>
      </c>
      <c r="L22" s="9">
        <f>22.4416308</f>
        <v>0</v>
      </c>
      <c r="M22" s="9">
        <f>15.994914*mass_unit</f>
        <v>0</v>
      </c>
    </row>
    <row r="23" spans="1:13">
      <c r="A23">
        <v>22</v>
      </c>
      <c r="B23" t="s">
        <v>49</v>
      </c>
      <c r="C23" t="s">
        <v>73</v>
      </c>
      <c r="D23" s="9">
        <f>4.06817938e+00*length_unit</f>
        <v>0</v>
      </c>
      <c r="E23">
        <f>-2.79214308e+00*length_unit</f>
        <v>0</v>
      </c>
      <c r="F23">
        <f>0.00000000e+00*length_unit</f>
        <v>0</v>
      </c>
      <c r="G23" s="9">
        <f>1.04895196e-01</f>
        <v>0</v>
      </c>
      <c r="H23" s="9">
        <f>0.0451914</f>
        <v>0</v>
      </c>
      <c r="I23">
        <f>0.0972443</f>
        <v>0</v>
      </c>
      <c r="J23">
        <f>0.1991592</f>
        <v>0</v>
      </c>
      <c r="K23" s="9">
        <f>0.4414879</f>
        <v>0</v>
      </c>
      <c r="L23" s="9">
        <f>1.0149042</f>
        <v>0</v>
      </c>
      <c r="M23" s="9">
        <f>1.007825*mass_unit</f>
        <v>0</v>
      </c>
    </row>
    <row r="24" spans="1:13">
      <c r="A24">
        <v>23</v>
      </c>
      <c r="B24" t="s">
        <v>49</v>
      </c>
      <c r="C24" t="s">
        <v>74</v>
      </c>
      <c r="D24" s="9">
        <f>8.46895641e+00*length_unit</f>
        <v>0</v>
      </c>
      <c r="E24">
        <f>-2.38780252e+00*length_unit</f>
        <v>0</v>
      </c>
      <c r="F24">
        <f>0.00000000e+00*length_unit</f>
        <v>0</v>
      </c>
      <c r="G24" s="9">
        <f>-1.99704132e-01</f>
        <v>0</v>
      </c>
      <c r="H24" s="9">
        <f>-0.0351007</f>
        <v>0</v>
      </c>
      <c r="I24">
        <f>-0.0067121</f>
        <v>0</v>
      </c>
      <c r="J24">
        <f>0.1357431</f>
        <v>0</v>
      </c>
      <c r="K24" s="9">
        <f>0.5073816</f>
        <v>0</v>
      </c>
      <c r="L24" s="9">
        <f>1.0799337</f>
        <v>0</v>
      </c>
      <c r="M24" s="9">
        <f>1.007825*mass_unit</f>
        <v>0</v>
      </c>
    </row>
    <row r="25" spans="1:13">
      <c r="A25">
        <v>24</v>
      </c>
      <c r="B25" t="s">
        <v>49</v>
      </c>
      <c r="C25" t="s">
        <v>75</v>
      </c>
      <c r="D25" s="9">
        <f>1.12371795e+01*length_unit</f>
        <v>0</v>
      </c>
      <c r="E25">
        <f>-6.26612445e+00*length_unit</f>
        <v>0</v>
      </c>
      <c r="F25">
        <f>0.00000000e+00*length_unit</f>
        <v>0</v>
      </c>
      <c r="G25" s="9">
        <f>-2.08360606e-01</f>
        <v>0</v>
      </c>
      <c r="H25" s="9">
        <f>-0.0592746</f>
        <v>0</v>
      </c>
      <c r="I25">
        <f>-0.0428467</f>
        <v>0</v>
      </c>
      <c r="J25">
        <f>0.1240445</f>
        <v>0</v>
      </c>
      <c r="K25" s="9">
        <f>0.5067161</f>
        <v>0</v>
      </c>
      <c r="L25" s="9">
        <f>1.0951682</f>
        <v>0</v>
      </c>
      <c r="M25" s="9">
        <f>1.007825*mass_unit</f>
        <v>0</v>
      </c>
    </row>
  </sheetData>
  <mergeCells count="3">
    <mergeCell ref="R2:S2"/>
    <mergeCell ref="T2:U2"/>
    <mergeCell ref="V2:W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2">
        <f>CONCATENATE("Dipole moment (",dipole_string,")")</f>
        <v>0</v>
      </c>
      <c r="B1" s="2"/>
      <c r="C1" s="2"/>
      <c r="D1" s="2"/>
      <c r="F1" s="2">
        <f>CONCATENATE("Quadrupole tensor (",quadrupole_string,")")</f>
        <v>0</v>
      </c>
      <c r="G1" s="2"/>
      <c r="H1" s="2"/>
      <c r="I1" s="2"/>
    </row>
    <row r="2" spans="1:9">
      <c r="B2" t="s">
        <v>86</v>
      </c>
      <c r="C2" t="s">
        <v>87</v>
      </c>
      <c r="D2" t="s">
        <v>88</v>
      </c>
      <c r="G2" t="s">
        <v>86</v>
      </c>
      <c r="H2" t="s">
        <v>87</v>
      </c>
      <c r="I2" t="s">
        <v>88</v>
      </c>
    </row>
    <row r="3" spans="1:9">
      <c r="A3" t="s">
        <v>85</v>
      </c>
      <c r="B3">
        <f>7.59482618e-05*dipole_unit</f>
        <v>0</v>
      </c>
      <c r="C3">
        <f>-9.69973985e-05*dipole_unit</f>
        <v>0</v>
      </c>
      <c r="D3">
        <f>1.25070760e-17*dipole_unit</f>
        <v>0</v>
      </c>
      <c r="F3" t="s">
        <v>86</v>
      </c>
      <c r="G3">
        <f>1.53677956e+01*quadrupole_unit</f>
        <v>0</v>
      </c>
      <c r="H3">
        <f>-1.05124399e+01*quadrupole_unit</f>
        <v>0</v>
      </c>
      <c r="I3">
        <f>-4.57302520e-16*quadrupole_unit</f>
        <v>0</v>
      </c>
    </row>
    <row r="4" spans="1:9">
      <c r="F4" t="s">
        <v>87</v>
      </c>
      <c r="H4">
        <f>-2.96091656e+00*quadrupole_unit</f>
        <v>0</v>
      </c>
      <c r="I4">
        <f>2.58099317e-16*quadrupole_unit</f>
        <v>0</v>
      </c>
    </row>
    <row r="5" spans="1:9">
      <c r="A5" t="s">
        <v>89</v>
      </c>
      <c r="B5">
        <f>0.00012319348109791412*dipole_unit</f>
        <v>0</v>
      </c>
      <c r="C5">
        <f>dipole_string</f>
        <v>0</v>
      </c>
      <c r="F5" t="s">
        <v>88</v>
      </c>
      <c r="I5">
        <f>-1.24068790e+01*quadrupole_unit</f>
        <v>0</v>
      </c>
    </row>
  </sheetData>
  <mergeCells count="2">
    <mergeCell ref="A1:D1"/>
    <mergeCell ref="F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15.7109375" customWidth="1"/>
    <col min="6" max="6" width="15.7109375" customWidth="1"/>
  </cols>
  <sheetData>
    <row r="1" spans="1:8">
      <c r="A1" s="2">
        <f>CONCATENATE("Energies (",energy_string,")")</f>
        <v>0</v>
      </c>
      <c r="B1" s="2"/>
      <c r="C1" s="2"/>
      <c r="F1" s="2" t="s">
        <v>99</v>
      </c>
      <c r="G1" s="2"/>
      <c r="H1" s="2"/>
    </row>
    <row r="2" spans="1:8">
      <c r="A2" t="s">
        <v>90</v>
      </c>
      <c r="B2">
        <f>-0.03997143411725809*energy_unit</f>
        <v>0</v>
      </c>
      <c r="C2">
        <f>energy_string</f>
        <v>0</v>
      </c>
      <c r="F2" t="s">
        <v>100</v>
      </c>
      <c r="G2">
        <f>-0.03436945162573732*energy_unit</f>
        <v>0</v>
      </c>
      <c r="H2">
        <f>energy_string</f>
        <v>0</v>
      </c>
    </row>
    <row r="3" spans="1:8">
      <c r="A3" t="s">
        <v>91</v>
      </c>
      <c r="B3">
        <f>-0.03928896595437577*energy_unit</f>
        <v>0</v>
      </c>
      <c r="C3">
        <f>energy_string</f>
        <v>0</v>
      </c>
      <c r="F3" t="s">
        <v>101</v>
      </c>
      <c r="G3">
        <f>-0.004915557723742956*energy_unit</f>
        <v>0</v>
      </c>
      <c r="H3">
        <f>energy_string</f>
        <v>0</v>
      </c>
    </row>
    <row r="4" spans="1:8">
      <c r="A4" t="s">
        <v>92</v>
      </c>
      <c r="B4">
        <f>0.005980796665240082*energy_unit</f>
        <v>0</v>
      </c>
      <c r="C4">
        <f>energy_string</f>
        <v>0</v>
      </c>
      <c r="F4" t="s">
        <v>102</v>
      </c>
      <c r="G4">
        <f>-0.03928896595437577*energy_unit</f>
        <v>0</v>
      </c>
      <c r="H4">
        <f>energy_string</f>
        <v>0</v>
      </c>
    </row>
    <row r="5" spans="1:8">
      <c r="A5" t="s">
        <v>93</v>
      </c>
      <c r="B5">
        <f>0.06322687361541889*energy_unit</f>
        <v>0</v>
      </c>
      <c r="C5">
        <f>energy_string</f>
        <v>0</v>
      </c>
    </row>
    <row r="6" spans="1:8">
      <c r="A6" t="s">
        <v>94</v>
      </c>
      <c r="B6">
        <f>-0.057246076950178804*energy_unit</f>
        <v>0</v>
      </c>
      <c r="C6">
        <f>energy_string</f>
        <v>0</v>
      </c>
    </row>
    <row r="7" spans="1:8">
      <c r="A7" t="s">
        <v>95</v>
      </c>
      <c r="B7">
        <f>0.13613241816880145*energy_unit</f>
        <v>0</v>
      </c>
      <c r="C7">
        <f>energy_string</f>
        <v>0</v>
      </c>
    </row>
    <row r="8" spans="1:8">
      <c r="A8" t="s">
        <v>96</v>
      </c>
      <c r="B8">
        <f>-0.052490351169820315*energy_unit</f>
        <v>0</v>
      </c>
      <c r="C8">
        <f>energy_string</f>
        <v>0</v>
      </c>
    </row>
    <row r="9" spans="1:8">
      <c r="A9" t="s">
        <v>97</v>
      </c>
      <c r="B9">
        <f>-0.059704153302728026*energy_unit</f>
        <v>0</v>
      </c>
      <c r="C9">
        <f>energy_string</f>
        <v>0</v>
      </c>
    </row>
    <row r="12" spans="1:8">
      <c r="A12" t="s">
        <v>98</v>
      </c>
      <c r="B12">
        <f>1.4691436829256354e-06*energy_unit</f>
        <v>0</v>
      </c>
      <c r="C12">
        <f>energy_string</f>
        <v>0</v>
      </c>
    </row>
  </sheetData>
  <mergeCells count="2">
    <mergeCell ref="A1:C1"/>
    <mergeCell ref="F1:H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Y25"/>
  <sheetViews>
    <sheetView workbookViewId="0">
      <pane xSplit="1" ySplit="1" topLeftCell="B2" activePane="bottomRight" state="frozen"/>
      <selection pane="topRight" activeCell="B1" sqref="B1"/>
      <selection pane="bottomLeft" activeCell="A2" sqref="A2"/>
      <selection pane="bottomRight"/>
    </sheetView>
  </sheetViews>
  <sheetFormatPr defaultRowHeight="15"/>
  <sheetData>
    <row r="1" spans="1:25">
      <c r="A1">
        <f>length_string</f>
        <v>0</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row>
    <row r="2" spans="1:25">
      <c r="A2" t="s">
        <v>52</v>
      </c>
      <c r="C2">
        <f>5.1812*length_unit</f>
        <v>0</v>
      </c>
      <c r="D2">
        <f>2.6842*length_unit</f>
        <v>0</v>
      </c>
      <c r="E2">
        <f>2.5989*length_unit</f>
        <v>0</v>
      </c>
      <c r="F2">
        <f>4.6385*length_unit</f>
        <v>0</v>
      </c>
      <c r="G2">
        <f>4.5242*length_unit</f>
        <v>0</v>
      </c>
      <c r="H2">
        <f>2.0572*length_unit</f>
        <v>0</v>
      </c>
      <c r="I2">
        <f>4.0774*length_unit</f>
        <v>0</v>
      </c>
      <c r="J2">
        <f>6.8522*length_unit</f>
        <v>0</v>
      </c>
      <c r="K2">
        <f>7.1719*length_unit</f>
        <v>0</v>
      </c>
      <c r="L2">
        <f>6.4442*length_unit</f>
        <v>0</v>
      </c>
      <c r="M2">
        <f>4.1453*length_unit</f>
        <v>0</v>
      </c>
      <c r="N2">
        <f>16.2835*length_unit</f>
        <v>0</v>
      </c>
      <c r="O2">
        <f>11.3626*length_unit</f>
        <v>0</v>
      </c>
      <c r="P2">
        <f>15.8186*length_unit</f>
        <v>0</v>
      </c>
      <c r="Q2">
        <f>14.5875*length_unit</f>
        <v>0</v>
      </c>
      <c r="R2">
        <f>11.8791*length_unit</f>
        <v>0</v>
      </c>
      <c r="S2">
        <f>13.4612*length_unit</f>
        <v>0</v>
      </c>
      <c r="T2">
        <f>18.2808*length_unit</f>
        <v>0</v>
      </c>
      <c r="U2">
        <f>15.4413*length_unit</f>
        <v>0</v>
      </c>
      <c r="V2">
        <f>10.4339*length_unit</f>
        <v>0</v>
      </c>
      <c r="W2">
        <f>9.5488*length_unit</f>
        <v>0</v>
      </c>
      <c r="X2">
        <f>13.3854*length_unit</f>
        <v>0</v>
      </c>
      <c r="Y2">
        <f>17.5006*length_unit</f>
        <v>0</v>
      </c>
    </row>
    <row r="3" spans="1:25">
      <c r="A3" t="s">
        <v>53</v>
      </c>
      <c r="B3">
        <f>5.1812*length_unit</f>
        <v>0</v>
      </c>
      <c r="D3">
        <f>4.4979*length_unit</f>
        <v>0</v>
      </c>
      <c r="E3">
        <f>4.5244*length_unit</f>
        <v>0</v>
      </c>
      <c r="F3">
        <f>2.6469*length_unit</f>
        <v>0</v>
      </c>
      <c r="G3">
        <f>2.5708*length_unit</f>
        <v>0</v>
      </c>
      <c r="H3">
        <f>7.2383*length_unit</f>
        <v>0</v>
      </c>
      <c r="I3">
        <f>6.3699*length_unit</f>
        <v>0</v>
      </c>
      <c r="J3">
        <f>4.3612*length_unit</f>
        <v>0</v>
      </c>
      <c r="K3">
        <f>1.9908*length_unit</f>
        <v>0</v>
      </c>
      <c r="L3">
        <f>3.9199*length_unit</f>
        <v>0</v>
      </c>
      <c r="M3">
        <f>6.3521*length_unit</f>
        <v>0</v>
      </c>
      <c r="N3">
        <f>11.3625*length_unit</f>
        <v>0</v>
      </c>
      <c r="O3">
        <f>6.8375*length_unit</f>
        <v>0</v>
      </c>
      <c r="P3">
        <f>11.3138*length_unit</f>
        <v>0</v>
      </c>
      <c r="Q3">
        <f>9.4804*length_unit</f>
        <v>0</v>
      </c>
      <c r="R3">
        <f>6.8134*length_unit</f>
        <v>0</v>
      </c>
      <c r="S3">
        <f>9.2661*length_unit</f>
        <v>0</v>
      </c>
      <c r="T3">
        <f>13.2975*length_unit</f>
        <v>0</v>
      </c>
      <c r="U3">
        <f>10.2607*length_unit</f>
        <v>0</v>
      </c>
      <c r="V3">
        <f>5.2533*length_unit</f>
        <v>0</v>
      </c>
      <c r="W3">
        <f>5.4268*length_unit</f>
        <v>0</v>
      </c>
      <c r="X3">
        <f>9.8045*length_unit</f>
        <v>0</v>
      </c>
      <c r="Y3">
        <f>13.1873*length_unit</f>
        <v>0</v>
      </c>
    </row>
    <row r="4" spans="1:25">
      <c r="A4" t="s">
        <v>54</v>
      </c>
      <c r="B4">
        <f>2.6842*length_unit</f>
        <v>0</v>
      </c>
      <c r="C4">
        <f>4.4979*length_unit</f>
        <v>0</v>
      </c>
      <c r="E4">
        <f>4.5992*length_unit</f>
        <v>0</v>
      </c>
      <c r="F4">
        <f>5.3936*length_unit</f>
        <v>0</v>
      </c>
      <c r="G4">
        <f>2.5959*length_unit</f>
        <v>0</v>
      </c>
      <c r="H4">
        <f>4.1054*length_unit</f>
        <v>0</v>
      </c>
      <c r="I4">
        <f>6.4836*length_unit</f>
        <v>0</v>
      </c>
      <c r="J4">
        <f>7.7699*length_unit</f>
        <v>0</v>
      </c>
      <c r="K4">
        <f>6.2831*length_unit</f>
        <v>0</v>
      </c>
      <c r="L4">
        <f>4.1024*length_unit</f>
        <v>0</v>
      </c>
      <c r="M4">
        <f>2.0493*length_unit</f>
        <v>0</v>
      </c>
      <c r="N4">
        <f>15.8186*length_unit</f>
        <v>0</v>
      </c>
      <c r="O4">
        <f>11.3138*length_unit</f>
        <v>0</v>
      </c>
      <c r="P4">
        <f>15.8023*length_unit</f>
        <v>0</v>
      </c>
      <c r="Q4">
        <f>13.8085*length_unit</f>
        <v>0</v>
      </c>
      <c r="R4">
        <f>11.2168*length_unit</f>
        <v>0</v>
      </c>
      <c r="S4">
        <f>13.6826*length_unit</f>
        <v>0</v>
      </c>
      <c r="T4">
        <f>17.7156*length_unit</f>
        <v>0</v>
      </c>
      <c r="U4">
        <f>14.3283*length_unit</f>
        <v>0</v>
      </c>
      <c r="V4">
        <f>9.3662*length_unit</f>
        <v>0</v>
      </c>
      <c r="W4">
        <f>9.7682*length_unit</f>
        <v>0</v>
      </c>
      <c r="X4">
        <f>14.0052*length_unit</f>
        <v>0</v>
      </c>
      <c r="Y4">
        <f>17.6503*length_unit</f>
        <v>0</v>
      </c>
    </row>
    <row r="5" spans="1:25">
      <c r="A5" t="s">
        <v>55</v>
      </c>
      <c r="B5">
        <f>2.5989*length_unit</f>
        <v>0</v>
      </c>
      <c r="C5">
        <f>4.5244*length_unit</f>
        <v>0</v>
      </c>
      <c r="D5">
        <f>4.5992*length_unit</f>
        <v>0</v>
      </c>
      <c r="F5">
        <f>2.7255*length_unit</f>
        <v>0</v>
      </c>
      <c r="G5">
        <f>5.2399*length_unit</f>
        <v>0</v>
      </c>
      <c r="H5">
        <f>4.0332*length_unit</f>
        <v>0</v>
      </c>
      <c r="I5">
        <f>2.0520*length_unit</f>
        <v>0</v>
      </c>
      <c r="J5">
        <f>4.5305*length_unit</f>
        <v>0</v>
      </c>
      <c r="K5">
        <f>6.3288*length_unit</f>
        <v>0</v>
      </c>
      <c r="L5">
        <f>7.2876*length_unit</f>
        <v>0</v>
      </c>
      <c r="M5">
        <f>6.4639*length_unit</f>
        <v>0</v>
      </c>
      <c r="N5">
        <f>14.5875*length_unit</f>
        <v>0</v>
      </c>
      <c r="O5">
        <f>9.4804*length_unit</f>
        <v>0</v>
      </c>
      <c r="P5">
        <f>13.8086*length_unit</f>
        <v>0</v>
      </c>
      <c r="Q5">
        <f>13.1889*length_unit</f>
        <v>0</v>
      </c>
      <c r="R5">
        <f>10.4689*length_unit</f>
        <v>0</v>
      </c>
      <c r="S5">
        <f>11.3407*length_unit</f>
        <v>0</v>
      </c>
      <c r="T5">
        <f>16.6298*length_unit</f>
        <v>0</v>
      </c>
      <c r="U5">
        <f>14.3264*length_unit</f>
        <v>0</v>
      </c>
      <c r="V5">
        <f>9.4705*length_unit</f>
        <v>0</v>
      </c>
      <c r="W5">
        <f>7.5471*length_unit</f>
        <v>0</v>
      </c>
      <c r="X5">
        <f>11.0446*length_unit</f>
        <v>0</v>
      </c>
      <c r="Y5">
        <f>15.3646*length_unit</f>
        <v>0</v>
      </c>
    </row>
    <row r="6" spans="1:25">
      <c r="A6" t="s">
        <v>56</v>
      </c>
      <c r="B6">
        <f>4.6385*length_unit</f>
        <v>0</v>
      </c>
      <c r="C6">
        <f>2.6469*length_unit</f>
        <v>0</v>
      </c>
      <c r="D6">
        <f>5.3936*length_unit</f>
        <v>0</v>
      </c>
      <c r="E6">
        <f>2.7255*length_unit</f>
        <v>0</v>
      </c>
      <c r="G6">
        <f>4.6093*length_unit</f>
        <v>0</v>
      </c>
      <c r="H6">
        <f>6.4990*length_unit</f>
        <v>0</v>
      </c>
      <c r="I6">
        <f>4.0839*length_unit</f>
        <v>0</v>
      </c>
      <c r="J6">
        <f>2.3793*length_unit</f>
        <v>0</v>
      </c>
      <c r="K6">
        <f>3.9681*length_unit</f>
        <v>0</v>
      </c>
      <c r="L6">
        <f>6.3834*length_unit</f>
        <v>0</v>
      </c>
      <c r="M6">
        <f>7.4427*length_unit</f>
        <v>0</v>
      </c>
      <c r="N6">
        <f>11.8792*length_unit</f>
        <v>0</v>
      </c>
      <c r="O6">
        <f>6.8134*length_unit</f>
        <v>0</v>
      </c>
      <c r="P6">
        <f>11.2169*length_unit</f>
        <v>0</v>
      </c>
      <c r="Q6">
        <f>10.4689*length_unit</f>
        <v>0</v>
      </c>
      <c r="R6">
        <f>7.7528*length_unit</f>
        <v>0</v>
      </c>
      <c r="S6">
        <f>8.8263*length_unit</f>
        <v>0</v>
      </c>
      <c r="T6">
        <f>13.9161*length_unit</f>
        <v>0</v>
      </c>
      <c r="U6">
        <f>11.6558*length_unit</f>
        <v>0</v>
      </c>
      <c r="V6">
        <f>6.9017*length_unit</f>
        <v>0</v>
      </c>
      <c r="W6">
        <f>4.9342*length_unit</f>
        <v>0</v>
      </c>
      <c r="X6">
        <f>8.7991*length_unit</f>
        <v>0</v>
      </c>
      <c r="Y6">
        <f>12.8662*length_unit</f>
        <v>0</v>
      </c>
    </row>
    <row r="7" spans="1:25">
      <c r="A7" t="s">
        <v>57</v>
      </c>
      <c r="B7">
        <f>4.5242*length_unit</f>
        <v>0</v>
      </c>
      <c r="C7">
        <f>2.5708*length_unit</f>
        <v>0</v>
      </c>
      <c r="D7">
        <f>2.5959*length_unit</f>
        <v>0</v>
      </c>
      <c r="E7">
        <f>5.2399*length_unit</f>
        <v>0</v>
      </c>
      <c r="F7">
        <f>4.6093*length_unit</f>
        <v>0</v>
      </c>
      <c r="H7">
        <f>6.3870*length_unit</f>
        <v>0</v>
      </c>
      <c r="I7">
        <f>7.2912*length_unit</f>
        <v>0</v>
      </c>
      <c r="J7">
        <f>6.7428*length_unit</f>
        <v>0</v>
      </c>
      <c r="K7">
        <f>3.9404*length_unit</f>
        <v>0</v>
      </c>
      <c r="L7">
        <f>2.0529*length_unit</f>
        <v>0</v>
      </c>
      <c r="M7">
        <f>4.0399*length_unit</f>
        <v>0</v>
      </c>
      <c r="N7">
        <f>13.4611*length_unit</f>
        <v>0</v>
      </c>
      <c r="O7">
        <f>9.2661*length_unit</f>
        <v>0</v>
      </c>
      <c r="P7">
        <f>13.6825*length_unit</f>
        <v>0</v>
      </c>
      <c r="Q7">
        <f>11.3406*length_unit</f>
        <v>0</v>
      </c>
      <c r="R7">
        <f>8.8262*length_unit</f>
        <v>0</v>
      </c>
      <c r="S7">
        <f>11.7554*length_unit</f>
        <v>0</v>
      </c>
      <c r="T7">
        <f>15.3017*length_unit</f>
        <v>0</v>
      </c>
      <c r="U7">
        <f>11.7650*length_unit</f>
        <v>0</v>
      </c>
      <c r="V7">
        <f>6.8462*length_unit</f>
        <v>0</v>
      </c>
      <c r="W7">
        <f>7.9753*length_unit</f>
        <v>0</v>
      </c>
      <c r="X7">
        <f>12.3692*length_unit</f>
        <v>0</v>
      </c>
      <c r="Y7">
        <f>15.6093*length_unit</f>
        <v>0</v>
      </c>
    </row>
    <row r="8" spans="1:25">
      <c r="A8" t="s">
        <v>58</v>
      </c>
      <c r="B8">
        <f>2.0572*length_unit</f>
        <v>0</v>
      </c>
      <c r="C8">
        <f>7.2383*length_unit</f>
        <v>0</v>
      </c>
      <c r="D8">
        <f>4.1054*length_unit</f>
        <v>0</v>
      </c>
      <c r="E8">
        <f>4.0332*length_unit</f>
        <v>0</v>
      </c>
      <c r="F8">
        <f>6.4990*length_unit</f>
        <v>0</v>
      </c>
      <c r="G8">
        <f>6.3870*length_unit</f>
        <v>0</v>
      </c>
      <c r="I8">
        <f>4.7039*length_unit</f>
        <v>0</v>
      </c>
      <c r="J8">
        <f>8.5477*length_unit</f>
        <v>0</v>
      </c>
      <c r="K8">
        <f>9.2291*length_unit</f>
        <v>0</v>
      </c>
      <c r="L8">
        <f>8.1663*length_unit</f>
        <v>0</v>
      </c>
      <c r="M8">
        <f>4.7701*length_unit</f>
        <v>0</v>
      </c>
      <c r="N8">
        <f>18.2808*length_unit</f>
        <v>0</v>
      </c>
      <c r="O8">
        <f>13.2976*length_unit</f>
        <v>0</v>
      </c>
      <c r="P8">
        <f>17.7157*length_unit</f>
        <v>0</v>
      </c>
      <c r="Q8">
        <f>16.6297*length_unit</f>
        <v>0</v>
      </c>
      <c r="R8">
        <f>13.9161*length_unit</f>
        <v>0</v>
      </c>
      <c r="S8">
        <f>15.3018*length_unit</f>
        <v>0</v>
      </c>
      <c r="T8">
        <f>20.2900*length_unit</f>
        <v>0</v>
      </c>
      <c r="U8">
        <f>17.4985*length_unit</f>
        <v>0</v>
      </c>
      <c r="V8">
        <f>12.4908*length_unit</f>
        <v>0</v>
      </c>
      <c r="W8">
        <f>11.4327*length_unit</f>
        <v>0</v>
      </c>
      <c r="X8">
        <f>15.0756*length_unit</f>
        <v>0</v>
      </c>
      <c r="Y8">
        <f>19.3383*length_unit</f>
        <v>0</v>
      </c>
    </row>
    <row r="9" spans="1:25">
      <c r="A9" t="s">
        <v>59</v>
      </c>
      <c r="B9">
        <f>4.0774*length_unit</f>
        <v>0</v>
      </c>
      <c r="C9">
        <f>6.3699*length_unit</f>
        <v>0</v>
      </c>
      <c r="D9">
        <f>6.4836*length_unit</f>
        <v>0</v>
      </c>
      <c r="E9">
        <f>2.0520*length_unit</f>
        <v>0</v>
      </c>
      <c r="F9">
        <f>4.0839*length_unit</f>
        <v>0</v>
      </c>
      <c r="G9">
        <f>7.2912*length_unit</f>
        <v>0</v>
      </c>
      <c r="H9">
        <f>4.7039*length_unit</f>
        <v>0</v>
      </c>
      <c r="J9">
        <f>5.0154*length_unit</f>
        <v>0</v>
      </c>
      <c r="K9">
        <f>8.0075*length_unit</f>
        <v>0</v>
      </c>
      <c r="L9">
        <f>9.3372*length_unit</f>
        <v>0</v>
      </c>
      <c r="M9">
        <f>8.1983*length_unit</f>
        <v>0</v>
      </c>
      <c r="N9">
        <f>15.4414*length_unit</f>
        <v>0</v>
      </c>
      <c r="O9">
        <f>10.2608*length_unit</f>
        <v>0</v>
      </c>
      <c r="P9">
        <f>14.3285*length_unit</f>
        <v>0</v>
      </c>
      <c r="Q9">
        <f>14.3264*length_unit</f>
        <v>0</v>
      </c>
      <c r="R9">
        <f>11.6558*length_unit</f>
        <v>0</v>
      </c>
      <c r="S9">
        <f>11.7651*length_unit</f>
        <v>0</v>
      </c>
      <c r="T9">
        <f>17.4986*length_unit</f>
        <v>0</v>
      </c>
      <c r="U9">
        <f>15.6514*length_unit</f>
        <v>0</v>
      </c>
      <c r="V9">
        <f>10.9805*length_unit</f>
        <v>0</v>
      </c>
      <c r="W9">
        <f>8.2706*length_unit</f>
        <v>0</v>
      </c>
      <c r="X9">
        <f>11.1095*length_unit</f>
        <v>0</v>
      </c>
      <c r="Y9">
        <f>15.6892*length_unit</f>
        <v>0</v>
      </c>
    </row>
    <row r="10" spans="1:25">
      <c r="A10" t="s">
        <v>60</v>
      </c>
      <c r="B10">
        <f>6.8522*length_unit</f>
        <v>0</v>
      </c>
      <c r="C10">
        <f>4.3612*length_unit</f>
        <v>0</v>
      </c>
      <c r="D10">
        <f>7.7699*length_unit</f>
        <v>0</v>
      </c>
      <c r="E10">
        <f>4.5305*length_unit</f>
        <v>0</v>
      </c>
      <c r="F10">
        <f>2.3793*length_unit</f>
        <v>0</v>
      </c>
      <c r="G10">
        <f>6.7428*length_unit</f>
        <v>0</v>
      </c>
      <c r="H10">
        <f>8.5477*length_unit</f>
        <v>0</v>
      </c>
      <c r="I10">
        <f>5.0154*length_unit</f>
        <v>0</v>
      </c>
      <c r="K10">
        <f>4.7574*length_unit</f>
        <v>0</v>
      </c>
      <c r="L10">
        <f>8.2811*length_unit</f>
        <v>0</v>
      </c>
      <c r="M10">
        <f>9.8181*length_unit</f>
        <v>0</v>
      </c>
      <c r="N10">
        <f>10.4340*length_unit</f>
        <v>0</v>
      </c>
      <c r="O10">
        <f>5.2534*length_unit</f>
        <v>0</v>
      </c>
      <c r="P10">
        <f>9.3664*length_unit</f>
        <v>0</v>
      </c>
      <c r="Q10">
        <f>9.4705*length_unit</f>
        <v>0</v>
      </c>
      <c r="R10">
        <f>6.9018*length_unit</f>
        <v>0</v>
      </c>
      <c r="S10">
        <f>6.8463*length_unit</f>
        <v>0</v>
      </c>
      <c r="T10">
        <f>12.4909*length_unit</f>
        <v>0</v>
      </c>
      <c r="U10">
        <f>10.9805*length_unit</f>
        <v>0</v>
      </c>
      <c r="V10">
        <f>6.8180*length_unit</f>
        <v>0</v>
      </c>
      <c r="W10">
        <f>3.2631*length_unit</f>
        <v>0</v>
      </c>
      <c r="X10">
        <f>6.5410*length_unit</f>
        <v>0</v>
      </c>
      <c r="Y10">
        <f>10.8501*length_unit</f>
        <v>0</v>
      </c>
    </row>
    <row r="11" spans="1:25">
      <c r="A11" t="s">
        <v>61</v>
      </c>
      <c r="B11">
        <f>7.1719*length_unit</f>
        <v>0</v>
      </c>
      <c r="C11">
        <f>1.9908*length_unit</f>
        <v>0</v>
      </c>
      <c r="D11">
        <f>6.2831*length_unit</f>
        <v>0</v>
      </c>
      <c r="E11">
        <f>6.3288*length_unit</f>
        <v>0</v>
      </c>
      <c r="F11">
        <f>3.9681*length_unit</f>
        <v>0</v>
      </c>
      <c r="G11">
        <f>3.9404*length_unit</f>
        <v>0</v>
      </c>
      <c r="H11">
        <f>9.2291*length_unit</f>
        <v>0</v>
      </c>
      <c r="I11">
        <f>8.0075*length_unit</f>
        <v>0</v>
      </c>
      <c r="J11">
        <f>4.7574*length_unit</f>
        <v>0</v>
      </c>
      <c r="L11">
        <f>4.4193*length_unit</f>
        <v>0</v>
      </c>
      <c r="M11">
        <f>7.9664*length_unit</f>
        <v>0</v>
      </c>
      <c r="N11">
        <f>9.5487*length_unit</f>
        <v>0</v>
      </c>
      <c r="O11">
        <f>5.4268*length_unit</f>
        <v>0</v>
      </c>
      <c r="P11">
        <f>9.7682*length_unit</f>
        <v>0</v>
      </c>
      <c r="Q11">
        <f>7.5470*length_unit</f>
        <v>0</v>
      </c>
      <c r="R11">
        <f>4.9341*length_unit</f>
        <v>0</v>
      </c>
      <c r="S11">
        <f>7.9753*length_unit</f>
        <v>0</v>
      </c>
      <c r="T11">
        <f>11.4326*length_unit</f>
        <v>0</v>
      </c>
      <c r="U11">
        <f>8.2705*length_unit</f>
        <v>0</v>
      </c>
      <c r="V11">
        <f>3.2630*length_unit</f>
        <v>0</v>
      </c>
      <c r="W11">
        <f>4.4807*length_unit</f>
        <v>0</v>
      </c>
      <c r="X11">
        <f>8.8671*length_unit</f>
        <v>0</v>
      </c>
      <c r="Y11">
        <f>11.7240*length_unit</f>
        <v>0</v>
      </c>
    </row>
    <row r="12" spans="1:25">
      <c r="A12" t="s">
        <v>62</v>
      </c>
      <c r="B12">
        <f>6.4442*length_unit</f>
        <v>0</v>
      </c>
      <c r="C12">
        <f>3.9199*length_unit</f>
        <v>0</v>
      </c>
      <c r="D12">
        <f>4.1024*length_unit</f>
        <v>0</v>
      </c>
      <c r="E12">
        <f>7.2876*length_unit</f>
        <v>0</v>
      </c>
      <c r="F12">
        <f>6.3834*length_unit</f>
        <v>0</v>
      </c>
      <c r="G12">
        <f>2.0529*length_unit</f>
        <v>0</v>
      </c>
      <c r="H12">
        <f>8.1663*length_unit</f>
        <v>0</v>
      </c>
      <c r="I12">
        <f>9.3372*length_unit</f>
        <v>0</v>
      </c>
      <c r="J12">
        <f>8.2811*length_unit</f>
        <v>0</v>
      </c>
      <c r="K12">
        <f>4.4193*length_unit</f>
        <v>0</v>
      </c>
      <c r="M12">
        <f>4.7649*length_unit</f>
        <v>0</v>
      </c>
      <c r="N12">
        <f>13.3852*length_unit</f>
        <v>0</v>
      </c>
      <c r="O12">
        <f>9.8044*length_unit</f>
        <v>0</v>
      </c>
      <c r="P12">
        <f>14.0051*length_unit</f>
        <v>0</v>
      </c>
      <c r="Q12">
        <f>11.0445*length_unit</f>
        <v>0</v>
      </c>
      <c r="R12">
        <f>8.7990*length_unit</f>
        <v>0</v>
      </c>
      <c r="S12">
        <f>12.3692*length_unit</f>
        <v>0</v>
      </c>
      <c r="T12">
        <f>15.0754*length_unit</f>
        <v>0</v>
      </c>
      <c r="U12">
        <f>11.1092*length_unit</f>
        <v>0</v>
      </c>
      <c r="V12">
        <f>6.5409*length_unit</f>
        <v>0</v>
      </c>
      <c r="W12">
        <f>8.8671*length_unit</f>
        <v>0</v>
      </c>
      <c r="X12">
        <f>13.2754*length_unit</f>
        <v>0</v>
      </c>
      <c r="Y12">
        <f>16.0090*length_unit</f>
        <v>0</v>
      </c>
    </row>
    <row r="13" spans="1:25">
      <c r="A13" t="s">
        <v>63</v>
      </c>
      <c r="B13">
        <f>4.1453*length_unit</f>
        <v>0</v>
      </c>
      <c r="C13">
        <f>6.3521*length_unit</f>
        <v>0</v>
      </c>
      <c r="D13">
        <f>2.0493*length_unit</f>
        <v>0</v>
      </c>
      <c r="E13">
        <f>6.4639*length_unit</f>
        <v>0</v>
      </c>
      <c r="F13">
        <f>7.4427*length_unit</f>
        <v>0</v>
      </c>
      <c r="G13">
        <f>4.0399*length_unit</f>
        <v>0</v>
      </c>
      <c r="H13">
        <f>4.7701*length_unit</f>
        <v>0</v>
      </c>
      <c r="I13">
        <f>8.1983*length_unit</f>
        <v>0</v>
      </c>
      <c r="J13">
        <f>9.8181*length_unit</f>
        <v>0</v>
      </c>
      <c r="K13">
        <f>7.9664*length_unit</f>
        <v>0</v>
      </c>
      <c r="L13">
        <f>4.7649*length_unit</f>
        <v>0</v>
      </c>
      <c r="N13">
        <f>17.5005*length_unit</f>
        <v>0</v>
      </c>
      <c r="O13">
        <f>13.1873*length_unit</f>
        <v>0</v>
      </c>
      <c r="P13">
        <f>17.6503*length_unit</f>
        <v>0</v>
      </c>
      <c r="Q13">
        <f>15.3644*length_unit</f>
        <v>0</v>
      </c>
      <c r="R13">
        <f>12.8661*length_unit</f>
        <v>0</v>
      </c>
      <c r="S13">
        <f>15.6093*length_unit</f>
        <v>0</v>
      </c>
      <c r="T13">
        <f>19.3382*length_unit</f>
        <v>0</v>
      </c>
      <c r="U13">
        <f>15.6890*length_unit</f>
        <v>0</v>
      </c>
      <c r="V13">
        <f>10.8500*length_unit</f>
        <v>0</v>
      </c>
      <c r="W13">
        <f>11.7240*length_unit</f>
        <v>0</v>
      </c>
      <c r="X13">
        <f>16.0091*length_unit</f>
        <v>0</v>
      </c>
      <c r="Y13">
        <f>19.5385*length_unit</f>
        <v>0</v>
      </c>
    </row>
    <row r="14" spans="1:25">
      <c r="A14" t="s">
        <v>64</v>
      </c>
      <c r="B14">
        <f>16.2835*length_unit</f>
        <v>0</v>
      </c>
      <c r="C14">
        <f>11.3625*length_unit</f>
        <v>0</v>
      </c>
      <c r="D14">
        <f>15.8186*length_unit</f>
        <v>0</v>
      </c>
      <c r="E14">
        <f>14.5875*length_unit</f>
        <v>0</v>
      </c>
      <c r="F14">
        <f>11.8792*length_unit</f>
        <v>0</v>
      </c>
      <c r="G14">
        <f>13.4611*length_unit</f>
        <v>0</v>
      </c>
      <c r="H14">
        <f>18.2808*length_unit</f>
        <v>0</v>
      </c>
      <c r="I14">
        <f>15.4414*length_unit</f>
        <v>0</v>
      </c>
      <c r="J14">
        <f>10.4340*length_unit</f>
        <v>0</v>
      </c>
      <c r="K14">
        <f>9.5487*length_unit</f>
        <v>0</v>
      </c>
      <c r="L14">
        <f>13.3852*length_unit</f>
        <v>0</v>
      </c>
      <c r="M14">
        <f>17.5005*length_unit</f>
        <v>0</v>
      </c>
      <c r="O14">
        <f>5.1812*length_unit</f>
        <v>0</v>
      </c>
      <c r="P14">
        <f>2.6842*length_unit</f>
        <v>0</v>
      </c>
      <c r="Q14">
        <f>2.5989*length_unit</f>
        <v>0</v>
      </c>
      <c r="R14">
        <f>4.6385*length_unit</f>
        <v>0</v>
      </c>
      <c r="S14">
        <f>4.5242*length_unit</f>
        <v>0</v>
      </c>
      <c r="T14">
        <f>2.0572*length_unit</f>
        <v>0</v>
      </c>
      <c r="U14">
        <f>4.0774*length_unit</f>
        <v>0</v>
      </c>
      <c r="V14">
        <f>6.8521*length_unit</f>
        <v>0</v>
      </c>
      <c r="W14">
        <f>7.1719*length_unit</f>
        <v>0</v>
      </c>
      <c r="X14">
        <f>6.4442*length_unit</f>
        <v>0</v>
      </c>
      <c r="Y14">
        <f>4.1453*length_unit</f>
        <v>0</v>
      </c>
    </row>
    <row r="15" spans="1:25">
      <c r="A15" t="s">
        <v>65</v>
      </c>
      <c r="B15">
        <f>11.3626*length_unit</f>
        <v>0</v>
      </c>
      <c r="C15">
        <f>6.8375*length_unit</f>
        <v>0</v>
      </c>
      <c r="D15">
        <f>11.3138*length_unit</f>
        <v>0</v>
      </c>
      <c r="E15">
        <f>9.4804*length_unit</f>
        <v>0</v>
      </c>
      <c r="F15">
        <f>6.8134*length_unit</f>
        <v>0</v>
      </c>
      <c r="G15">
        <f>9.2661*length_unit</f>
        <v>0</v>
      </c>
      <c r="H15">
        <f>13.2976*length_unit</f>
        <v>0</v>
      </c>
      <c r="I15">
        <f>10.2608*length_unit</f>
        <v>0</v>
      </c>
      <c r="J15">
        <f>5.2534*length_unit</f>
        <v>0</v>
      </c>
      <c r="K15">
        <f>5.4268*length_unit</f>
        <v>0</v>
      </c>
      <c r="L15">
        <f>9.8044*length_unit</f>
        <v>0</v>
      </c>
      <c r="M15">
        <f>13.1873*length_unit</f>
        <v>0</v>
      </c>
      <c r="N15">
        <f>5.1812*length_unit</f>
        <v>0</v>
      </c>
      <c r="P15">
        <f>4.4979*length_unit</f>
        <v>0</v>
      </c>
      <c r="Q15">
        <f>4.5244*length_unit</f>
        <v>0</v>
      </c>
      <c r="R15">
        <f>2.6469*length_unit</f>
        <v>0</v>
      </c>
      <c r="S15">
        <f>2.5708*length_unit</f>
        <v>0</v>
      </c>
      <c r="T15">
        <f>7.2383*length_unit</f>
        <v>0</v>
      </c>
      <c r="U15">
        <f>6.3699*length_unit</f>
        <v>0</v>
      </c>
      <c r="V15">
        <f>4.3612*length_unit</f>
        <v>0</v>
      </c>
      <c r="W15">
        <f>1.9908*length_unit</f>
        <v>0</v>
      </c>
      <c r="X15">
        <f>3.9199*length_unit</f>
        <v>0</v>
      </c>
      <c r="Y15">
        <f>6.3521*length_unit</f>
        <v>0</v>
      </c>
    </row>
    <row r="16" spans="1:25">
      <c r="A16" t="s">
        <v>66</v>
      </c>
      <c r="B16">
        <f>15.8186*length_unit</f>
        <v>0</v>
      </c>
      <c r="C16">
        <f>11.3138*length_unit</f>
        <v>0</v>
      </c>
      <c r="D16">
        <f>15.8023*length_unit</f>
        <v>0</v>
      </c>
      <c r="E16">
        <f>13.8086*length_unit</f>
        <v>0</v>
      </c>
      <c r="F16">
        <f>11.2169*length_unit</f>
        <v>0</v>
      </c>
      <c r="G16">
        <f>13.6825*length_unit</f>
        <v>0</v>
      </c>
      <c r="H16">
        <f>17.7157*length_unit</f>
        <v>0</v>
      </c>
      <c r="I16">
        <f>14.3285*length_unit</f>
        <v>0</v>
      </c>
      <c r="J16">
        <f>9.3664*length_unit</f>
        <v>0</v>
      </c>
      <c r="K16">
        <f>9.7682*length_unit</f>
        <v>0</v>
      </c>
      <c r="L16">
        <f>14.0051*length_unit</f>
        <v>0</v>
      </c>
      <c r="M16">
        <f>17.6503*length_unit</f>
        <v>0</v>
      </c>
      <c r="N16">
        <f>2.6842*length_unit</f>
        <v>0</v>
      </c>
      <c r="O16">
        <f>4.4979*length_unit</f>
        <v>0</v>
      </c>
      <c r="Q16">
        <f>4.5992*length_unit</f>
        <v>0</v>
      </c>
      <c r="R16">
        <f>5.3936*length_unit</f>
        <v>0</v>
      </c>
      <c r="S16">
        <f>2.5959*length_unit</f>
        <v>0</v>
      </c>
      <c r="T16">
        <f>4.1054*length_unit</f>
        <v>0</v>
      </c>
      <c r="U16">
        <f>6.4836*length_unit</f>
        <v>0</v>
      </c>
      <c r="V16">
        <f>7.7699*length_unit</f>
        <v>0</v>
      </c>
      <c r="W16">
        <f>6.2831*length_unit</f>
        <v>0</v>
      </c>
      <c r="X16">
        <f>4.1024*length_unit</f>
        <v>0</v>
      </c>
      <c r="Y16">
        <f>2.0493*length_unit</f>
        <v>0</v>
      </c>
    </row>
    <row r="17" spans="1:25">
      <c r="A17" t="s">
        <v>67</v>
      </c>
      <c r="B17">
        <f>14.5875*length_unit</f>
        <v>0</v>
      </c>
      <c r="C17">
        <f>9.4804*length_unit</f>
        <v>0</v>
      </c>
      <c r="D17">
        <f>13.8085*length_unit</f>
        <v>0</v>
      </c>
      <c r="E17">
        <f>13.1889*length_unit</f>
        <v>0</v>
      </c>
      <c r="F17">
        <f>10.4689*length_unit</f>
        <v>0</v>
      </c>
      <c r="G17">
        <f>11.3406*length_unit</f>
        <v>0</v>
      </c>
      <c r="H17">
        <f>16.6297*length_unit</f>
        <v>0</v>
      </c>
      <c r="I17">
        <f>14.3264*length_unit</f>
        <v>0</v>
      </c>
      <c r="J17">
        <f>9.4705*length_unit</f>
        <v>0</v>
      </c>
      <c r="K17">
        <f>7.5470*length_unit</f>
        <v>0</v>
      </c>
      <c r="L17">
        <f>11.0445*length_unit</f>
        <v>0</v>
      </c>
      <c r="M17">
        <f>15.3644*length_unit</f>
        <v>0</v>
      </c>
      <c r="N17">
        <f>2.5989*length_unit</f>
        <v>0</v>
      </c>
      <c r="O17">
        <f>4.5244*length_unit</f>
        <v>0</v>
      </c>
      <c r="P17">
        <f>4.5992*length_unit</f>
        <v>0</v>
      </c>
      <c r="R17">
        <f>2.7255*length_unit</f>
        <v>0</v>
      </c>
      <c r="S17">
        <f>5.2399*length_unit</f>
        <v>0</v>
      </c>
      <c r="T17">
        <f>4.0332*length_unit</f>
        <v>0</v>
      </c>
      <c r="U17">
        <f>2.0520*length_unit</f>
        <v>0</v>
      </c>
      <c r="V17">
        <f>4.5305*length_unit</f>
        <v>0</v>
      </c>
      <c r="W17">
        <f>6.3288*length_unit</f>
        <v>0</v>
      </c>
      <c r="X17">
        <f>7.2876*length_unit</f>
        <v>0</v>
      </c>
      <c r="Y17">
        <f>6.4639*length_unit</f>
        <v>0</v>
      </c>
    </row>
    <row r="18" spans="1:25">
      <c r="A18" t="s">
        <v>68</v>
      </c>
      <c r="B18">
        <f>11.8791*length_unit</f>
        <v>0</v>
      </c>
      <c r="C18">
        <f>6.8134*length_unit</f>
        <v>0</v>
      </c>
      <c r="D18">
        <f>11.2168*length_unit</f>
        <v>0</v>
      </c>
      <c r="E18">
        <f>10.4689*length_unit</f>
        <v>0</v>
      </c>
      <c r="F18">
        <f>7.7528*length_unit</f>
        <v>0</v>
      </c>
      <c r="G18">
        <f>8.8262*length_unit</f>
        <v>0</v>
      </c>
      <c r="H18">
        <f>13.9161*length_unit</f>
        <v>0</v>
      </c>
      <c r="I18">
        <f>11.6558*length_unit</f>
        <v>0</v>
      </c>
      <c r="J18">
        <f>6.9018*length_unit</f>
        <v>0</v>
      </c>
      <c r="K18">
        <f>4.9341*length_unit</f>
        <v>0</v>
      </c>
      <c r="L18">
        <f>8.7990*length_unit</f>
        <v>0</v>
      </c>
      <c r="M18">
        <f>12.8661*length_unit</f>
        <v>0</v>
      </c>
      <c r="N18">
        <f>4.6385*length_unit</f>
        <v>0</v>
      </c>
      <c r="O18">
        <f>2.6469*length_unit</f>
        <v>0</v>
      </c>
      <c r="P18">
        <f>5.3936*length_unit</f>
        <v>0</v>
      </c>
      <c r="Q18">
        <f>2.7255*length_unit</f>
        <v>0</v>
      </c>
      <c r="S18">
        <f>4.6093*length_unit</f>
        <v>0</v>
      </c>
      <c r="T18">
        <f>6.4990*length_unit</f>
        <v>0</v>
      </c>
      <c r="U18">
        <f>4.0839*length_unit</f>
        <v>0</v>
      </c>
      <c r="V18">
        <f>2.3793*length_unit</f>
        <v>0</v>
      </c>
      <c r="W18">
        <f>3.9681*length_unit</f>
        <v>0</v>
      </c>
      <c r="X18">
        <f>6.3834*length_unit</f>
        <v>0</v>
      </c>
      <c r="Y18">
        <f>7.4427*length_unit</f>
        <v>0</v>
      </c>
    </row>
    <row r="19" spans="1:25">
      <c r="A19" t="s">
        <v>69</v>
      </c>
      <c r="B19">
        <f>13.4612*length_unit</f>
        <v>0</v>
      </c>
      <c r="C19">
        <f>9.2661*length_unit</f>
        <v>0</v>
      </c>
      <c r="D19">
        <f>13.6826*length_unit</f>
        <v>0</v>
      </c>
      <c r="E19">
        <f>11.3407*length_unit</f>
        <v>0</v>
      </c>
      <c r="F19">
        <f>8.8263*length_unit</f>
        <v>0</v>
      </c>
      <c r="G19">
        <f>11.7554*length_unit</f>
        <v>0</v>
      </c>
      <c r="H19">
        <f>15.3018*length_unit</f>
        <v>0</v>
      </c>
      <c r="I19">
        <f>11.7651*length_unit</f>
        <v>0</v>
      </c>
      <c r="J19">
        <f>6.8463*length_unit</f>
        <v>0</v>
      </c>
      <c r="K19">
        <f>7.9753*length_unit</f>
        <v>0</v>
      </c>
      <c r="L19">
        <f>12.3692*length_unit</f>
        <v>0</v>
      </c>
      <c r="M19">
        <f>15.6093*length_unit</f>
        <v>0</v>
      </c>
      <c r="N19">
        <f>4.5242*length_unit</f>
        <v>0</v>
      </c>
      <c r="O19">
        <f>2.5708*length_unit</f>
        <v>0</v>
      </c>
      <c r="P19">
        <f>2.5959*length_unit</f>
        <v>0</v>
      </c>
      <c r="Q19">
        <f>5.2399*length_unit</f>
        <v>0</v>
      </c>
      <c r="R19">
        <f>4.6093*length_unit</f>
        <v>0</v>
      </c>
      <c r="T19">
        <f>6.3870*length_unit</f>
        <v>0</v>
      </c>
      <c r="U19">
        <f>7.2912*length_unit</f>
        <v>0</v>
      </c>
      <c r="V19">
        <f>6.7428*length_unit</f>
        <v>0</v>
      </c>
      <c r="W19">
        <f>3.9404*length_unit</f>
        <v>0</v>
      </c>
      <c r="X19">
        <f>2.0529*length_unit</f>
        <v>0</v>
      </c>
      <c r="Y19">
        <f>4.0399*length_unit</f>
        <v>0</v>
      </c>
    </row>
    <row r="20" spans="1:25">
      <c r="A20" t="s">
        <v>70</v>
      </c>
      <c r="B20">
        <f>18.2808*length_unit</f>
        <v>0</v>
      </c>
      <c r="C20">
        <f>13.2975*length_unit</f>
        <v>0</v>
      </c>
      <c r="D20">
        <f>17.7156*length_unit</f>
        <v>0</v>
      </c>
      <c r="E20">
        <f>16.6298*length_unit</f>
        <v>0</v>
      </c>
      <c r="F20">
        <f>13.9161*length_unit</f>
        <v>0</v>
      </c>
      <c r="G20">
        <f>15.3017*length_unit</f>
        <v>0</v>
      </c>
      <c r="H20">
        <f>20.2900*length_unit</f>
        <v>0</v>
      </c>
      <c r="I20">
        <f>17.4986*length_unit</f>
        <v>0</v>
      </c>
      <c r="J20">
        <f>12.4909*length_unit</f>
        <v>0</v>
      </c>
      <c r="K20">
        <f>11.4326*length_unit</f>
        <v>0</v>
      </c>
      <c r="L20">
        <f>15.0754*length_unit</f>
        <v>0</v>
      </c>
      <c r="M20">
        <f>19.3382*length_unit</f>
        <v>0</v>
      </c>
      <c r="N20">
        <f>2.0572*length_unit</f>
        <v>0</v>
      </c>
      <c r="O20">
        <f>7.2383*length_unit</f>
        <v>0</v>
      </c>
      <c r="P20">
        <f>4.1054*length_unit</f>
        <v>0</v>
      </c>
      <c r="Q20">
        <f>4.0332*length_unit</f>
        <v>0</v>
      </c>
      <c r="R20">
        <f>6.4990*length_unit</f>
        <v>0</v>
      </c>
      <c r="S20">
        <f>6.3870*length_unit</f>
        <v>0</v>
      </c>
      <c r="U20">
        <f>4.7039*length_unit</f>
        <v>0</v>
      </c>
      <c r="V20">
        <f>8.5477*length_unit</f>
        <v>0</v>
      </c>
      <c r="W20">
        <f>9.2291*length_unit</f>
        <v>0</v>
      </c>
      <c r="X20">
        <f>8.1663*length_unit</f>
        <v>0</v>
      </c>
      <c r="Y20">
        <f>4.7701*length_unit</f>
        <v>0</v>
      </c>
    </row>
    <row r="21" spans="1:25">
      <c r="A21" t="s">
        <v>71</v>
      </c>
      <c r="B21">
        <f>15.4413*length_unit</f>
        <v>0</v>
      </c>
      <c r="C21">
        <f>10.2607*length_unit</f>
        <v>0</v>
      </c>
      <c r="D21">
        <f>14.3283*length_unit</f>
        <v>0</v>
      </c>
      <c r="E21">
        <f>14.3264*length_unit</f>
        <v>0</v>
      </c>
      <c r="F21">
        <f>11.6558*length_unit</f>
        <v>0</v>
      </c>
      <c r="G21">
        <f>11.7650*length_unit</f>
        <v>0</v>
      </c>
      <c r="H21">
        <f>17.4985*length_unit</f>
        <v>0</v>
      </c>
      <c r="I21">
        <f>15.6514*length_unit</f>
        <v>0</v>
      </c>
      <c r="J21">
        <f>10.9805*length_unit</f>
        <v>0</v>
      </c>
      <c r="K21">
        <f>8.2705*length_unit</f>
        <v>0</v>
      </c>
      <c r="L21">
        <f>11.1092*length_unit</f>
        <v>0</v>
      </c>
      <c r="M21">
        <f>15.6890*length_unit</f>
        <v>0</v>
      </c>
      <c r="N21">
        <f>4.0774*length_unit</f>
        <v>0</v>
      </c>
      <c r="O21">
        <f>6.3699*length_unit</f>
        <v>0</v>
      </c>
      <c r="P21">
        <f>6.4836*length_unit</f>
        <v>0</v>
      </c>
      <c r="Q21">
        <f>2.0520*length_unit</f>
        <v>0</v>
      </c>
      <c r="R21">
        <f>4.0839*length_unit</f>
        <v>0</v>
      </c>
      <c r="S21">
        <f>7.2912*length_unit</f>
        <v>0</v>
      </c>
      <c r="T21">
        <f>4.7039*length_unit</f>
        <v>0</v>
      </c>
      <c r="V21">
        <f>5.0154*length_unit</f>
        <v>0</v>
      </c>
      <c r="W21">
        <f>8.0075*length_unit</f>
        <v>0</v>
      </c>
      <c r="X21">
        <f>9.3372*length_unit</f>
        <v>0</v>
      </c>
      <c r="Y21">
        <f>8.1983*length_unit</f>
        <v>0</v>
      </c>
    </row>
    <row r="22" spans="1:25">
      <c r="A22" t="s">
        <v>72</v>
      </c>
      <c r="B22">
        <f>10.4339*length_unit</f>
        <v>0</v>
      </c>
      <c r="C22">
        <f>5.2533*length_unit</f>
        <v>0</v>
      </c>
      <c r="D22">
        <f>9.3662*length_unit</f>
        <v>0</v>
      </c>
      <c r="E22">
        <f>9.4705*length_unit</f>
        <v>0</v>
      </c>
      <c r="F22">
        <f>6.9017*length_unit</f>
        <v>0</v>
      </c>
      <c r="G22">
        <f>6.8462*length_unit</f>
        <v>0</v>
      </c>
      <c r="H22">
        <f>12.4908*length_unit</f>
        <v>0</v>
      </c>
      <c r="I22">
        <f>10.9805*length_unit</f>
        <v>0</v>
      </c>
      <c r="J22">
        <f>6.8180*length_unit</f>
        <v>0</v>
      </c>
      <c r="K22">
        <f>3.2630*length_unit</f>
        <v>0</v>
      </c>
      <c r="L22">
        <f>6.5409*length_unit</f>
        <v>0</v>
      </c>
      <c r="M22">
        <f>10.8500*length_unit</f>
        <v>0</v>
      </c>
      <c r="N22">
        <f>6.8521*length_unit</f>
        <v>0</v>
      </c>
      <c r="O22">
        <f>4.3612*length_unit</f>
        <v>0</v>
      </c>
      <c r="P22">
        <f>7.7699*length_unit</f>
        <v>0</v>
      </c>
      <c r="Q22">
        <f>4.5305*length_unit</f>
        <v>0</v>
      </c>
      <c r="R22">
        <f>2.3793*length_unit</f>
        <v>0</v>
      </c>
      <c r="S22">
        <f>6.7428*length_unit</f>
        <v>0</v>
      </c>
      <c r="T22">
        <f>8.5477*length_unit</f>
        <v>0</v>
      </c>
      <c r="U22">
        <f>5.0154*length_unit</f>
        <v>0</v>
      </c>
      <c r="W22">
        <f>4.7574*length_unit</f>
        <v>0</v>
      </c>
      <c r="X22">
        <f>8.2811*length_unit</f>
        <v>0</v>
      </c>
      <c r="Y22">
        <f>9.8181*length_unit</f>
        <v>0</v>
      </c>
    </row>
    <row r="23" spans="1:25">
      <c r="A23" t="s">
        <v>73</v>
      </c>
      <c r="B23">
        <f>9.5488*length_unit</f>
        <v>0</v>
      </c>
      <c r="C23">
        <f>5.4268*length_unit</f>
        <v>0</v>
      </c>
      <c r="D23">
        <f>9.7682*length_unit</f>
        <v>0</v>
      </c>
      <c r="E23">
        <f>7.5471*length_unit</f>
        <v>0</v>
      </c>
      <c r="F23">
        <f>4.9342*length_unit</f>
        <v>0</v>
      </c>
      <c r="G23">
        <f>7.9753*length_unit</f>
        <v>0</v>
      </c>
      <c r="H23">
        <f>11.4327*length_unit</f>
        <v>0</v>
      </c>
      <c r="I23">
        <f>8.2706*length_unit</f>
        <v>0</v>
      </c>
      <c r="J23">
        <f>3.2631*length_unit</f>
        <v>0</v>
      </c>
      <c r="K23">
        <f>4.4807*length_unit</f>
        <v>0</v>
      </c>
      <c r="L23">
        <f>8.8671*length_unit</f>
        <v>0</v>
      </c>
      <c r="M23">
        <f>11.7240*length_unit</f>
        <v>0</v>
      </c>
      <c r="N23">
        <f>7.1719*length_unit</f>
        <v>0</v>
      </c>
      <c r="O23">
        <f>1.9908*length_unit</f>
        <v>0</v>
      </c>
      <c r="P23">
        <f>6.2831*length_unit</f>
        <v>0</v>
      </c>
      <c r="Q23">
        <f>6.3288*length_unit</f>
        <v>0</v>
      </c>
      <c r="R23">
        <f>3.9681*length_unit</f>
        <v>0</v>
      </c>
      <c r="S23">
        <f>3.9404*length_unit</f>
        <v>0</v>
      </c>
      <c r="T23">
        <f>9.2291*length_unit</f>
        <v>0</v>
      </c>
      <c r="U23">
        <f>8.0075*length_unit</f>
        <v>0</v>
      </c>
      <c r="V23">
        <f>4.7574*length_unit</f>
        <v>0</v>
      </c>
      <c r="X23">
        <f>4.4193*length_unit</f>
        <v>0</v>
      </c>
      <c r="Y23">
        <f>7.9664*length_unit</f>
        <v>0</v>
      </c>
    </row>
    <row r="24" spans="1:25">
      <c r="A24" t="s">
        <v>74</v>
      </c>
      <c r="B24">
        <f>13.3854*length_unit</f>
        <v>0</v>
      </c>
      <c r="C24">
        <f>9.8045*length_unit</f>
        <v>0</v>
      </c>
      <c r="D24">
        <f>14.0052*length_unit</f>
        <v>0</v>
      </c>
      <c r="E24">
        <f>11.0446*length_unit</f>
        <v>0</v>
      </c>
      <c r="F24">
        <f>8.7991*length_unit</f>
        <v>0</v>
      </c>
      <c r="G24">
        <f>12.3692*length_unit</f>
        <v>0</v>
      </c>
      <c r="H24">
        <f>15.0756*length_unit</f>
        <v>0</v>
      </c>
      <c r="I24">
        <f>11.1095*length_unit</f>
        <v>0</v>
      </c>
      <c r="J24">
        <f>6.5410*length_unit</f>
        <v>0</v>
      </c>
      <c r="K24">
        <f>8.8671*length_unit</f>
        <v>0</v>
      </c>
      <c r="L24">
        <f>13.2754*length_unit</f>
        <v>0</v>
      </c>
      <c r="M24">
        <f>16.0091*length_unit</f>
        <v>0</v>
      </c>
      <c r="N24">
        <f>6.4442*length_unit</f>
        <v>0</v>
      </c>
      <c r="O24">
        <f>3.9199*length_unit</f>
        <v>0</v>
      </c>
      <c r="P24">
        <f>4.1024*length_unit</f>
        <v>0</v>
      </c>
      <c r="Q24">
        <f>7.2876*length_unit</f>
        <v>0</v>
      </c>
      <c r="R24">
        <f>6.3834*length_unit</f>
        <v>0</v>
      </c>
      <c r="S24">
        <f>2.0529*length_unit</f>
        <v>0</v>
      </c>
      <c r="T24">
        <f>8.1663*length_unit</f>
        <v>0</v>
      </c>
      <c r="U24">
        <f>9.3372*length_unit</f>
        <v>0</v>
      </c>
      <c r="V24">
        <f>8.2811*length_unit</f>
        <v>0</v>
      </c>
      <c r="W24">
        <f>4.4193*length_unit</f>
        <v>0</v>
      </c>
      <c r="Y24">
        <f>4.7649*length_unit</f>
        <v>0</v>
      </c>
    </row>
    <row r="25" spans="1:25">
      <c r="A25" t="s">
        <v>75</v>
      </c>
      <c r="B25">
        <f>17.5006*length_unit</f>
        <v>0</v>
      </c>
      <c r="C25">
        <f>13.1873*length_unit</f>
        <v>0</v>
      </c>
      <c r="D25">
        <f>17.6503*length_unit</f>
        <v>0</v>
      </c>
      <c r="E25">
        <f>15.3646*length_unit</f>
        <v>0</v>
      </c>
      <c r="F25">
        <f>12.8662*length_unit</f>
        <v>0</v>
      </c>
      <c r="G25">
        <f>15.6093*length_unit</f>
        <v>0</v>
      </c>
      <c r="H25">
        <f>19.3383*length_unit</f>
        <v>0</v>
      </c>
      <c r="I25">
        <f>15.6892*length_unit</f>
        <v>0</v>
      </c>
      <c r="J25">
        <f>10.8501*length_unit</f>
        <v>0</v>
      </c>
      <c r="K25">
        <f>11.7240*length_unit</f>
        <v>0</v>
      </c>
      <c r="L25">
        <f>16.0090*length_unit</f>
        <v>0</v>
      </c>
      <c r="M25">
        <f>19.5385*length_unit</f>
        <v>0</v>
      </c>
      <c r="N25">
        <f>4.1453*length_unit</f>
        <v>0</v>
      </c>
      <c r="O25">
        <f>6.3521*length_unit</f>
        <v>0</v>
      </c>
      <c r="P25">
        <f>2.0493*length_unit</f>
        <v>0</v>
      </c>
      <c r="Q25">
        <f>6.4639*length_unit</f>
        <v>0</v>
      </c>
      <c r="R25">
        <f>7.4427*length_unit</f>
        <v>0</v>
      </c>
      <c r="S25">
        <f>4.0399*length_unit</f>
        <v>0</v>
      </c>
      <c r="T25">
        <f>4.7701*length_unit</f>
        <v>0</v>
      </c>
      <c r="U25">
        <f>8.1983*length_unit</f>
        <v>0</v>
      </c>
      <c r="V25">
        <f>9.8181*length_unit</f>
        <v>0</v>
      </c>
      <c r="W25">
        <f>7.9664*length_unit</f>
        <v>0</v>
      </c>
      <c r="X25">
        <f>4.7649*length_unit</f>
        <v>0</v>
      </c>
    </row>
  </sheetData>
  <conditionalFormatting sqref="B2:Y25">
    <cfRule type="colorScale" priority="1">
      <colorScale>
        <cfvo type="min" val="0"/>
        <cfvo type="percentile" val="50"/>
        <cfvo type="max" val="6.0"/>
        <color rgb="FFF8696B"/>
        <color rgb="FFFFEB84"/>
        <color rgb="FFFFFFFF"/>
      </colorScale>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10" t="s">
        <v>103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General</vt:lpstr>
      <vt:lpstr>Atoms</vt:lpstr>
      <vt:lpstr>Multipoles</vt:lpstr>
      <vt:lpstr>Energies</vt:lpstr>
      <vt:lpstr>Distances</vt:lpstr>
      <vt:lpstr>Task, Engine</vt:lpstr>
      <vt:lpstr>dipole</vt:lpstr>
      <vt:lpstr>energy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2026-04-11T14:37:32Z</dcterms:created>
  <dcterms:modified xsi:type="dcterms:W3CDTF">2026-04-11T14:37:32Z</dcterms:modified>
</cp:coreProperties>
</file>